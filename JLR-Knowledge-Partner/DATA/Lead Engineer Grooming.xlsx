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jlrglobal-my.sharepoint.com/personal/audgi_jaguarlandrover_com/Documents/TTL/LE grooming, support and review/Light house/Data format for AI/"/>
    </mc:Choice>
  </mc:AlternateContent>
  <xr:revisionPtr revIDLastSave="51" documentId="8_{13139D43-559D-41D8-BBCB-AD8BF862453F}" xr6:coauthVersionLast="47" xr6:coauthVersionMax="47" xr10:uidLastSave="{CD91D4E5-6A99-439C-8D49-301E7371EC65}"/>
  <bookViews>
    <workbookView xWindow="-108" yWindow="-108" windowWidth="23256" windowHeight="13896" xr2:uid="{19AF6C0A-BA39-4272-8B04-3847870A170D}"/>
  </bookViews>
  <sheets>
    <sheet name="Lead Engineer Grooming" sheetId="1" r:id="rId1"/>
  </sheets>
  <externalReferences>
    <externalReference r:id="rId2"/>
  </externalReferences>
  <definedNames>
    <definedName name="_xlnm._FilterDatabase" localSheetId="0" hidden="1">'Lead Engineer Grooming'!$A$1:$M$47</definedName>
    <definedName name="Header1">[1]Build_Support!$D$1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1" l="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5" i="1"/>
  <c r="A4" i="1"/>
  <c r="A3" i="1"/>
  <c r="A2" i="1"/>
  <c r="S24" i="1"/>
  <c r="R24" i="1"/>
  <c r="Q24" i="1"/>
  <c r="S23" i="1"/>
  <c r="R23" i="1"/>
  <c r="Q23" i="1"/>
  <c r="S22" i="1"/>
  <c r="R22" i="1"/>
  <c r="Q22" i="1"/>
</calcChain>
</file>

<file path=xl/sharedStrings.xml><?xml version="1.0" encoding="utf-8"?>
<sst xmlns="http://schemas.openxmlformats.org/spreadsheetml/2006/main" count="551" uniqueCount="250">
  <si>
    <t>SR NO</t>
  </si>
  <si>
    <t>Issue</t>
  </si>
  <si>
    <t>Area</t>
  </si>
  <si>
    <t>Issue Description</t>
  </si>
  <si>
    <t>Help required from</t>
  </si>
  <si>
    <t>Solution/Comments / Actions</t>
  </si>
  <si>
    <t>Image</t>
  </si>
  <si>
    <t>Issue raised by</t>
  </si>
  <si>
    <t>Date issue opened</t>
  </si>
  <si>
    <t>Date issue closed</t>
  </si>
  <si>
    <t>LL/Q&amp;A/KSS</t>
  </si>
  <si>
    <t>Status</t>
  </si>
  <si>
    <t>Links</t>
  </si>
  <si>
    <t>Lesson Leant published</t>
  </si>
  <si>
    <t>APQP 3DX Migration</t>
  </si>
  <si>
    <t>APQP</t>
  </si>
  <si>
    <t>3DX APQP work process</t>
  </si>
  <si>
    <t>Help need from any LE who has staring working on 3DX APQP</t>
  </si>
  <si>
    <t>3DX APQP work process not clear, how to work in 3dx APQP, refer sharepoint link for online 3dx. Offline APQP can be found in shared folder to run apqp meeting with supplier in the dowtime.</t>
  </si>
  <si>
    <t>NA</t>
  </si>
  <si>
    <t>Nivil Jose</t>
  </si>
  <si>
    <t>Q&amp;A</t>
  </si>
  <si>
    <t>Closed</t>
  </si>
  <si>
    <t>https://outlook.office.com/book/APQP3DXTrainingBooking@jlrglobal.onmicrosoft.com/?ismsaljsauthenabled=true</t>
  </si>
  <si>
    <t>UBOM Migration</t>
  </si>
  <si>
    <t>3DX</t>
  </si>
  <si>
    <t xml:space="preserve">VSMs missing with the parts. </t>
  </si>
  <si>
    <t>Help required from CAD team to identify the parts those are missing in each VSM and to add them appropriately with all the necessary properties filled in.</t>
  </si>
  <si>
    <t>Pre P release collaboraive task needs to be raised, post P release Iceate has to be raised to update usage according to the VSM/market</t>
  </si>
  <si>
    <t>HET part CAD- missing fixing</t>
  </si>
  <si>
    <t>CAD</t>
  </si>
  <si>
    <t>CAD sent for HET25 Maching of spoiler, has no fixing data in them. Physical parts generated for HET25 has no fixings and Build stopped.</t>
  </si>
  <si>
    <t xml:space="preserve">Corrective action required from CAD team to prevent future issues
</t>
  </si>
  <si>
    <t>The Missing fixings were provided to the proto maker, fixings arranged from the supplier by LE to sort this issue.
Checklist created to avoid such issues.</t>
  </si>
  <si>
    <t>Sandeep Mote</t>
  </si>
  <si>
    <t>LL</t>
  </si>
  <si>
    <t>Checklist created to avoid such issues</t>
  </si>
  <si>
    <t>Sevice release Parts</t>
  </si>
  <si>
    <t>Icreate</t>
  </si>
  <si>
    <t>1) Do we need specific EIs for service parts
2) If required need CAD data in EIs</t>
  </si>
  <si>
    <t>From LEs who previously/currently worked on service part release icrt.- Sumit,Anudeep,Arvind</t>
  </si>
  <si>
    <t>1) Yes,Specific EIs for service parts are required,which need to nested to main assembly EIs
2) If CAD is in 3DX,then yes CAD need sto be added in EIs.
If CAD is in V5- Empty EIs are also Okay. 
Detail solution added in sr.no 16.</t>
  </si>
  <si>
    <t>PDF added in Support document folder</t>
  </si>
  <si>
    <r>
      <rPr>
        <b/>
        <sz val="8"/>
        <color rgb="FF000000"/>
        <rFont val="Arial"/>
      </rPr>
      <t xml:space="preserve">Link to create a Nested EI structure in 3DEXP
</t>
    </r>
    <r>
      <rPr>
        <sz val="8"/>
        <color rgb="FF000000"/>
        <rFont val="Arial"/>
      </rPr>
      <t>Training - UBOM -&gt; UBOM for CAD Author -&gt; Creating a new Assembly EI Final with Child EI Components (Nested EI's) : 
https://jlrglobal.sharepoint.com/sites/3d-experience-training-online/SitePages/UBOM-for-CAD-Authors.aspx</t>
    </r>
  </si>
  <si>
    <t>PIR access</t>
  </si>
  <si>
    <t>PPIR</t>
  </si>
  <si>
    <t>1) How to download PPIR from RADs
2) How to request PIR  access for engineer/DBMI approval site</t>
  </si>
  <si>
    <t>From LEs who previously/currently worked on access for PPIR - LE's
Sandeep helped to show how to download once you have access</t>
  </si>
  <si>
    <t>Linked shared to download PPIR</t>
  </si>
  <si>
    <t>Saddam</t>
  </si>
  <si>
    <t>PIR link - https://rads.jlrint.com/ppir/ppir.asp</t>
  </si>
  <si>
    <t xml:space="preserve">PIR Report Approval </t>
  </si>
  <si>
    <t>1) How to download, Check and approve the PIR report.</t>
  </si>
  <si>
    <t>Help need from LEs How to Approve report?
Sandeep helped me on How to Approve report in PIR System.</t>
  </si>
  <si>
    <t>Detail explanation given by LE and query has been resolved.</t>
  </si>
  <si>
    <t>Rahul Phatangare</t>
  </si>
  <si>
    <t>https://rads.jlrint.com/ppir/ppir.asp</t>
  </si>
  <si>
    <t>New CA/CO creation Guidance</t>
  </si>
  <si>
    <t>to understand the CA/CO creation process</t>
  </si>
  <si>
    <t>Rupesh Helped to understand it properly</t>
  </si>
  <si>
    <t xml:space="preserve">shared the link for CA/CO creations and explained it on the call how to create it. Refer to sharepoint link. </t>
  </si>
  <si>
    <t>https://jlrglobal.sharepoint.com/sites/3d-experience-training-online/_layouts/15/stream.aspx?id=%2Fsites%2F3d%2Dexperience%2Dtraining%2Donline%2FShared%20Documents%2FDocumentation%2FP%20Release%20for%20L481%20and%20EMA%2FTactical%20release%20process%2FInitial%20P%20Release%2FMLA%20IR%20Webinar%2Emp4&amp;referrer=StreamWebApp%2EWeb&amp;referrerScenario=AddressBarCopied%2Eview%2E5b9e06ad%2D39a4%2D4008%2Db0ca%2D9ab6d5717ff1</t>
  </si>
  <si>
    <t>EBER3 Reference required</t>
  </si>
  <si>
    <t>EBER</t>
  </si>
  <si>
    <t>wanted the reference for the EBER3 review evidence pack</t>
  </si>
  <si>
    <t>help needed from L.E for the EBER3 review evidence pack
sandeep provided the ref pack</t>
  </si>
  <si>
    <t>Share the EBER3 reference documnet and explained the details required for it on call.
Refer attached EBER's evidence pack in one drive.</t>
  </si>
  <si>
    <t>Rupesh Nikule</t>
  </si>
  <si>
    <t>Currency related issue on the Risk ticket</t>
  </si>
  <si>
    <t>JIRA</t>
  </si>
  <si>
    <t>help required to understand the impact of different currencies like EURO and GBP</t>
  </si>
  <si>
    <t>Nivil helped to sort this currency issue</t>
  </si>
  <si>
    <t xml:space="preserve">explained on the call how to sort the different currency issue. </t>
  </si>
  <si>
    <t>Subsequent CAD release</t>
  </si>
  <si>
    <t>Need to help to draft a subsequent Cad release in system with UP Suffix CLI</t>
  </si>
  <si>
    <t>Need help from LE who has experience in subsequent release</t>
  </si>
  <si>
    <t>Refer to the tanining link for UP suffix release</t>
  </si>
  <si>
    <t>Anudeep Mamidi</t>
  </si>
  <si>
    <t>https://jlrglobal.sharepoint.com/sites/3d-experience-training-online/Shared%20Documents/Forms/tags.aspx?id=%2Fsites%2F3d%2Dexperience%2Dtraining%2Donline%2FShared%20Documents%2FDocumentation%2FIn%20Vehicle%20Software%20%28IVS%29%2FCAD%20%2D%20Subsequent%2FBranching%20%28up%2DCLI%29%20the%20EI%2Epdf&amp;parent=%2Fsites%2F3d%2Dexperience%2Dtraining%2Donline%2FShared%20Documents%2FDocumentation%2FIn%20Vehicle%20Software%20%28IVS%29%2FCAD%20%2D%20Subsequent</t>
  </si>
  <si>
    <t>Pre-sale RIS</t>
  </si>
  <si>
    <t>RIS</t>
  </si>
  <si>
    <t>Need to Rework all pre-build cars.
keys are specific to VIN numbers.
Need to undserstand
1. If parts are ETS, can parts be directly sent to rework team.
2. Who will be doing the rework on the cars.</t>
  </si>
  <si>
    <t>Need help from LE who has experience in Rework</t>
  </si>
  <si>
    <t>International upgrade team will contcat you regarding parts availability ETA, at that time you confirm the delievry address as well. Its good to deliver the parts at rework location.</t>
  </si>
  <si>
    <t>Gaurav Gupta</t>
  </si>
  <si>
    <t>26MY SV Cridix deleted in 80428 icreate</t>
  </si>
  <si>
    <t>The 80428 iCreate executed in which the 26MY part T9XM-8200-AA deleted in redbook. Need to check how we can add it in redbook.</t>
  </si>
  <si>
    <t>Need help from LE who has experience in iCreate redbook updates</t>
  </si>
  <si>
    <t>8/13/2025 : Need to discuss with Admin team how we can update the 26MY part in redbook. LE need to review cridix internally before confirming to admin team at REQUEST phase before GL approval.</t>
  </si>
  <si>
    <t>N/A</t>
  </si>
  <si>
    <t>Akash Hanwate</t>
  </si>
  <si>
    <t>iCreate number 80428 : https://icreate.jlr-ddc.com/propose-change/summary/summary</t>
  </si>
  <si>
    <t xml:space="preserve">VSM L384 Core part carryover </t>
  </si>
  <si>
    <t>GENERAL</t>
  </si>
  <si>
    <t>we have core valance carryover in SV with new technical paint. ERS asked me that she cannot provide two CCR for one part. so created dummy with same T8U2 part as we are unsure of supplier who it will be</t>
  </si>
  <si>
    <t>suggestion from experince LEs needed whether anyother way possible</t>
  </si>
  <si>
    <t>we need separate cost number for carryover parts if supplier is different as it will new supplier will charge handling cost to it. it doest affect EBOM structure and there it will be same number. Cost collector required for hadling cost.</t>
  </si>
  <si>
    <t>suraj powar</t>
  </si>
  <si>
    <t>Service release UBOM</t>
  </si>
  <si>
    <t>RELEASE</t>
  </si>
  <si>
    <t>Service parts required specific EIs and should be visible in VSM. However, whether it is allowed to keep the same part in production assembly and a separate EI for Service part. Both will be visinble in VSM</t>
  </si>
  <si>
    <t xml:space="preserve">ERS, anyone has experience </t>
  </si>
  <si>
    <t>Sameer- Duplicate parts visible in VSM is OK, that is Service only release will be visible in separate EI and the same part will be visible in Production assembly EI as well.
Nivil - For those parts already released for service but has no EI generated, it is necessary to create a new EI to add usage to the current program to use as a service part for the current program. It wont affect the previous release. We can have Same EI number for N number of times, but all will have diffrerent PRD number, so the VSM will use that particular PRD number used for releasing that part.
You need to add usage codes or statements other than CCR codes.</t>
  </si>
  <si>
    <t>UBOM Structure</t>
  </si>
  <si>
    <t xml:space="preserve">UBOM training </t>
  </si>
  <si>
    <t xml:space="preserve">anyone has experience </t>
  </si>
  <si>
    <t>Go through taining pack</t>
  </si>
  <si>
    <t>Sameer Joshi</t>
  </si>
  <si>
    <t>knowlege sharing</t>
  </si>
  <si>
    <t>https://jlrglobal.sharepoint.com/sites/3d-experience-training-online/SitePages/Webinar%20Schedule.aspx?csf=1&amp;e=5BMt4m</t>
  </si>
  <si>
    <t>DT2 Part rlease and CAD structure</t>
  </si>
  <si>
    <t xml:space="preserve">PIA part release(component) DT2 </t>
  </si>
  <si>
    <t>Nivil - Should be under an EI and should be nested in top level EI
if the PIA or EI not released in the system, the DT2 part can be added as the PIA to the EI</t>
  </si>
  <si>
    <t>Saddam Shaik</t>
  </si>
  <si>
    <t>CA/CO in Icreate</t>
  </si>
  <si>
    <t>CA/CO for icreate</t>
  </si>
  <si>
    <t>there is a video for training session to create the CA/CO creation process</t>
  </si>
  <si>
    <t>Sanddep Mote</t>
  </si>
  <si>
    <t>https://jlrglobal.sharepoint.com/sites/3d-experience-training-online/_layouts/15/stream.aspx?id=%2Fsites%2F3d%2Dexperience%2Dtraining%2Donline%2FShared%20Documents%2FDocumentation%2FP%20Release%20for%20L481%20and%20EMA%2FTactical%20release%20process%2FInitial%20P%20Release%2FMLA%20IR%20Webinar%2Emp4&amp;nav=eyJwbGF5YmFja09wdGlvbnMiOnsic3RhcnRUaW1lSW5TZWNvbmRzIjoxMC4wMjI3OTd9fQ%3D%3D&amp;referrer=StreamWebApp%2EWeb&amp;referrerScenario=AddressBarCopied%2Eview%2Ebcf6b74f%2D258b%2D435a%2Dbb11%2Db62e5ece4088</t>
  </si>
  <si>
    <t>Orange Peel issue resolution</t>
  </si>
  <si>
    <t>WCPA</t>
  </si>
  <si>
    <t>Orange peel issue on body painted RH side D Post finisher</t>
  </si>
  <si>
    <t>Parts were checked if molded correctly.
Paint build up thickness analysis was done to measure coating thickness and found that thickness of Primer &amp; basecoat was less compare to LH (LH was found Ok)
Robotic paint program was set differently for LH &amp; RH side D Post finisher.
Hence paint program optimised for Orange Peel (minor reduction of BASE/BC viscosity) for LH D post finisher and increased the paint thickness as per layers to overcome orange peel issue.</t>
  </si>
  <si>
    <t>Sagar Gagare</t>
  </si>
  <si>
    <t>DT, GRADE, EMC</t>
  </si>
  <si>
    <t>Brand new/Re-useDT, GRADE, EMC for actuators and connectors</t>
  </si>
  <si>
    <t>Anyone with experience on GRADE, EMC &amp; DT</t>
  </si>
  <si>
    <t>Arvind &amp; Nivil - ECAS  to be raised for New and Reuse GRADE &amp; EMC. A training to be completed to get the access to ECAS.
DT require access EAC application to be installed or run on the system.
ECAS link shared</t>
  </si>
  <si>
    <t>Arvind Udgi</t>
  </si>
  <si>
    <t>ECAS access and training is hosted here;
https://jlrglobal.sharepoint.com/sites/electronicslessons/SitePages/ECAS-Webinars.aspx</t>
  </si>
  <si>
    <t>AAR Deviation</t>
  </si>
  <si>
    <t>AAR</t>
  </si>
  <si>
    <t>Deviation raised for AAR approval prior to the off tool parts</t>
  </si>
  <si>
    <t>Need to fill up the JLR Perceived Quality Cosmetic Deviation Form. Will have more information by next week once AAR team is back.
Devaition need to raised againt the requirement in S-dots</t>
  </si>
  <si>
    <t>Swapnil Dalvi</t>
  </si>
  <si>
    <t>https://jlrglobal.sharepoint.com/:p:/r/sites/MLA27MYMCFSV-EXTERIORS_GRP/_layouts/15/Doc.aspx?sourcedoc=%7B7949E75C-8787-41D5-9AEE-55995AF052D0%7D&amp;file=20251010_L460%2028MY%20SV%20Radiator%20Grille%20Stress%20Mark%20Deviation.pptx&amp;action=edit&amp;mobileredirect=true
https://jlrglobal.sharepoint.com/sites/MLA27MYMCFSV-EXTERIORS_GRP/Shared%20Documents/Forms/AllItems.aspx?viewid=5fa9a06f%2D09e5%2D4ae2%2D994e%2D176c761c998d&amp;csf=1&amp;web=1&amp;e=qeuRLr&amp;FolderCTID=0x012000F46C83D4C1DFE148AEB509A111C1BFFD&amp;id=%2Fsites%2FMLA27MYMCFSV%2DEXTERIORS%5FGRP%2FShared%20Documents%2FGeneral%2FL460%20%2D27MY%2F07%2E%20OQ%2DPQ%2FL460%2028MY%20SV%20Radiator%20Grille%2FDeviation%2FSTJLR%2E01%2E5019%2Epdf&amp;parent=%2Fsites%2FMLA27MYMCFSV%2DEXTERIORS%5FGRP%2FShared%20Documents%2FGeneral%2FL460%20%2D27MY%2F07%2E%20OQ%2DPQ%2FL460%2028MY%20SV%20Radiator%20Grille%2FDeviation</t>
  </si>
  <si>
    <t>Q2</t>
  </si>
  <si>
    <t>Q3</t>
  </si>
  <si>
    <t>Q4</t>
  </si>
  <si>
    <t>How to raise PR AIMS</t>
  </si>
  <si>
    <t>AIMS</t>
  </si>
  <si>
    <t>Need help to raise PRAIMS against ongoing build issue, for which we are requesting design change to supplier</t>
  </si>
  <si>
    <t>AIMS 2, PR AIMS.
PR AIMS can be raised in AIMS3 JIRA, SME will manage the PR AIMS.</t>
  </si>
  <si>
    <t>Sanket Kotkar</t>
  </si>
  <si>
    <t>I have come across below link for the PRAIMS. Please check if it helps :
1)JLR-HTG-557086  Creation of Robust PR-AIMS with Quality Content :
 https://jlrglobal.sharepoint.com/sites/jlrway/en-gb/wi/Pages/Creation-of-Robust-PRAIMS-with-Quality-Content-1603726713284.aspx
2) JLR-HTG-557086 Creation of Robust PR-AIMS with Quality Content : 
https://jlrglobal.sharepoint.com/sites/jlrway/en-gb/procedures/Pages/dlloyd13_automated_issue_management_aim_-_prevent_recurrence_.aspx#/related-content</t>
  </si>
  <si>
    <t xml:space="preserve">LL </t>
  </si>
  <si>
    <t>Understand the PCDS process</t>
  </si>
  <si>
    <t>Need a brief intro on the PCDS process</t>
  </si>
  <si>
    <t>Shilajit Pal</t>
  </si>
  <si>
    <t>https://hrselfservice.jlrint.com/hr_direct/cgi-bin/pcr000af.cgi</t>
  </si>
  <si>
    <t>PCAR access DC7</t>
  </si>
  <si>
    <t>Access required for entering the build/production plant</t>
  </si>
  <si>
    <t>PCAR link added. Site currently down due to system outage issue.</t>
  </si>
  <si>
    <t>KSS</t>
  </si>
  <si>
    <t>PCAR access Gaydon</t>
  </si>
  <si>
    <t>Access required for entering the Gaydon premises</t>
  </si>
  <si>
    <t>PCAR access Solihul</t>
  </si>
  <si>
    <t>PCAR access Halewood</t>
  </si>
  <si>
    <t>WCPA area</t>
  </si>
  <si>
    <t>Access required for entering WCPA</t>
  </si>
  <si>
    <t>Dress code in plant/hivis/safetyshoes</t>
  </si>
  <si>
    <t>Plant Ethics</t>
  </si>
  <si>
    <t>Safety shoes, watch/belt covers required in assembly zones. Jeans not allowed in DC7 plant.
High Vis required only in stores and not required for assembly zones.
DC7 induction ppt link to be added</t>
  </si>
  <si>
    <t>PPT added on share folder</t>
  </si>
  <si>
    <t>VEPS requirement</t>
  </si>
  <si>
    <t>VEPS</t>
  </si>
  <si>
    <t>VEPS requirements for each gateway</t>
  </si>
  <si>
    <t>KSS arranged with wider team and links added</t>
  </si>
  <si>
    <t>https://jlrglobal.sharepoint.com/sites/veps/Shared%20Documents/Forms/AllItems.aspx?csf=1&amp;web=1&amp;e=7yuhNN&amp;CID=f611b62c%2D9ffa%2D4ba0%2Da7b7%2Dd9cfbd1bcfb4&amp;FolderCTID=0x01200002B3E001137568418B8A2B302F89CC7F&amp;id=%2Fsites%2Fveps%2FShared%20Documents%2F01%2E%20VEPS%20SCHEDULES%2FTOP%20HAT%2FBES</t>
  </si>
  <si>
    <t>PPD(painted parts)</t>
  </si>
  <si>
    <t>Paint process sheet including paint application process/parameters</t>
  </si>
  <si>
    <t>PPD contains all the information about paint application including different layers of paint, thickness, curing and other process parameters</t>
  </si>
  <si>
    <t>https://jlrglobal.sharepoint.com/:x:/r/sites/L663SV27MYEU7EmissionsUpdate_GRP2/Shared%20Documents/General/05%20Engineering/Sagar/L663%2026MY%20SV%20OCTA%20%26%20MCF/PPD/Minth/EDP-PPD.XLSX?d=w5d94a37ce9e241fbad213405993712f0&amp;csf=1&amp;web=1&amp;e=YCw3qS</t>
  </si>
  <si>
    <t>ALERT in Jira</t>
  </si>
  <si>
    <t>ALERT</t>
  </si>
  <si>
    <t>New ALERT process in Jira</t>
  </si>
  <si>
    <t>Work around inplace for WERS alert after IT issue</t>
  </si>
  <si>
    <t xml:space="preserve">Sumit </t>
  </si>
  <si>
    <t>added in Share folder</t>
  </si>
  <si>
    <t>Collaborative task</t>
  </si>
  <si>
    <t>Adding newly created EI parts in VSM without Icreate</t>
  </si>
  <si>
    <t>Training link added</t>
  </si>
  <si>
    <t>EBOM change request during virtual series.mp4</t>
  </si>
  <si>
    <t>OKTUL for Usage matrix</t>
  </si>
  <si>
    <t xml:space="preserve">How to refer the Usage matrix </t>
  </si>
  <si>
    <t>Tableau link shared</t>
  </si>
  <si>
    <t>https://jlrglobal.sharepoint.com/sites/tableau</t>
  </si>
  <si>
    <t>Fastner OKTUL</t>
  </si>
  <si>
    <t xml:space="preserve">How to refer to the Fastner library </t>
  </si>
  <si>
    <t>Fastener engineering link added</t>
  </si>
  <si>
    <t>Welcome to Fastener Engineering</t>
  </si>
  <si>
    <t>CRIDIX Training</t>
  </si>
  <si>
    <t>Need more clarity on how to review CRIDIX</t>
  </si>
  <si>
    <t>Training session / discussion</t>
  </si>
  <si>
    <t xml:space="preserve">Live cridx reviewed </t>
  </si>
  <si>
    <t>Drive for Chnage</t>
  </si>
  <si>
    <t>in updated version of ICREATE, Drive for the change bucket has been changed.
Does anyone has information on this new version change type, which type to be selected for Cad and Cost changes</t>
  </si>
  <si>
    <t>anyone with previous experience</t>
  </si>
  <si>
    <t>Service Icrt</t>
  </si>
  <si>
    <t>need help to update procurement tab for service icrt</t>
  </si>
  <si>
    <t>In procurement Tab- Use plant need to be- Service Landrover/Jaguar</t>
  </si>
  <si>
    <t>Amit Saste</t>
  </si>
  <si>
    <t>Lab test- DART</t>
  </si>
  <si>
    <t>Lab test request</t>
  </si>
  <si>
    <t>DART link shared</t>
  </si>
  <si>
    <t>Durability And Reliability Testing</t>
  </si>
  <si>
    <t>S-dots</t>
  </si>
  <si>
    <t>S-DOT</t>
  </si>
  <si>
    <t>Engineering standards</t>
  </si>
  <si>
    <t>S-dots link shared</t>
  </si>
  <si>
    <t>http://www.sdots.jaguar.ford.com/quickstart.asp</t>
  </si>
  <si>
    <t>TRM-3dx</t>
  </si>
  <si>
    <t>Explore in 3DX</t>
  </si>
  <si>
    <t>PCDS V4</t>
  </si>
  <si>
    <t>Training Session</t>
  </si>
  <si>
    <t>Experienced/Expert LE's</t>
  </si>
  <si>
    <t>Live Training Session</t>
  </si>
  <si>
    <t>KSS/Training</t>
  </si>
  <si>
    <t>https://jlrglobal.sharepoint.com/sites/planning-hub/SitePages/home.aspx</t>
  </si>
  <si>
    <t>3DX AIMS3</t>
  </si>
  <si>
    <t>https://jlrglobal.sharepoint.com/sites/3d-experience-training-online/SitePages/3DExperience-Training-AIMS2.aspx</t>
  </si>
  <si>
    <t>TRM(New process) 3DX</t>
  </si>
  <si>
    <t>https://comm.sp.jlrint.com/sites/engstd/rmdv/default.aspx</t>
  </si>
  <si>
    <t>Doors requirement management</t>
  </si>
  <si>
    <t>RMDV RTC test cases management</t>
  </si>
  <si>
    <t>Icreate process</t>
  </si>
  <si>
    <t>https://jlrglobal.sharepoint.com/sites/icreate-v2/</t>
  </si>
  <si>
    <t xml:space="preserve">PACN </t>
  </si>
  <si>
    <t>http://www.etracker.jlr.ford.com/apps/addissues/EditIssue.asp?IssueID=12738886&amp;ProjectID=PACN</t>
  </si>
  <si>
    <t>Fixing Release</t>
  </si>
  <si>
    <t>Need help in raising and Icreate and releasing fixing to Ebom</t>
  </si>
  <si>
    <t>Refer IC54988 for release process 
1. Release not required for fixings which are being assembled at T1(integrator) or DT2.
2. Only track fit fixing needs releasing</t>
  </si>
  <si>
    <t>https://jlrglobal.sharepoint.com/sites/3d-experience-training-online/_layouts/15/stream.aspx?id=%2Fsites%2F3d%2Dexperience%2Dtraining%2Donline%2FShared%20Documents%2FMP4%20Videos%2FP%20Release%20for%20L481and%20EMA%2FWebinars%2FCOBOT%20webinar%2Dincrease%20quantity%2C%20position%20only%2C%20add%20new%20EI%2Emp4&amp;referrer=StreamWebApp%2EWeb&amp;referrerScenario=AddressBarCopied%2Eview%2E99bed3f5%2De0cc%2D47b9%2D873c%2Df22a7642d9ce</t>
  </si>
  <si>
    <t>CA/CO &amp; delete parts</t>
  </si>
  <si>
    <t>Whether CO/CA  required for an icreate that is only for deleting parts</t>
  </si>
  <si>
    <t>No CO/CA required as per ERS</t>
  </si>
  <si>
    <t>CA/CO &amp; cost collector IC</t>
  </si>
  <si>
    <t>What are the CA/O requirement for an icreate releasing only cost collectors</t>
  </si>
  <si>
    <t xml:space="preserve">Only USG CA required. </t>
  </si>
  <si>
    <t xml:space="preserve">3DX UBOM </t>
  </si>
  <si>
    <t>https://jlrglobal.sharepoint.com/sites/3d-experience-training-online/SitePages/Transition-to-UBOM.aspx</t>
  </si>
  <si>
    <t>3DX comodity plan</t>
  </si>
  <si>
    <t>https://jlrglobal.sharepoint.com/sites/3d-experience-training-online/SitePages/Training%20-%20Commodity%20Planning.aspx?csf=1&amp;web=1&amp;e=IH94Orhttp://</t>
  </si>
  <si>
    <t>3DX EBER process</t>
  </si>
  <si>
    <t>https://jlrglobal.sharepoint.com/sites/3d-experience-training-online/SitePages/Training-Evidence-Based-Engineering-Review-(EBER).aspx</t>
  </si>
  <si>
    <t>WERS process and operating system</t>
  </si>
  <si>
    <t>WERS</t>
  </si>
  <si>
    <t>https://jlrglobal.sharepoint.com/sites/c3png-self-help/SitePages/Worldwide-Engineering-Releasing-System-(WERS)---PROFILE.aspx</t>
  </si>
  <si>
    <t>WERS ALERT</t>
  </si>
  <si>
    <t>https://jlrglobal.sharepoint.com/sites/c3png-self-help/SitePages/Worldwide-Engineering-Releasing-System-(WERS)---ALERTS.aspx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</si>
</sst>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b/>
      <sz val="8"/>
      <name val="Arial"/>
      <family val="2"/>
    </font>
    <font>
      <sz val="8"/>
      <color theme="1"/>
      <name val="Arial"/>
      <family val="2"/>
    </font>
    <font>
      <sz val="8"/>
      <color rgb="FF000000"/>
      <name val="Arial"/>
    </font>
    <font>
      <b/>
      <sz val="8"/>
      <color rgb="FF000000"/>
      <name val="Arial"/>
    </font>
    <font>
      <sz val="8"/>
      <color theme="1"/>
      <name val="Arial"/>
    </font>
  </fonts>
  <fills count="4">
    <fill>
      <patternFill patternType="none"/>
    </fill>
    <fill>
      <patternFill patternType="gray125"/>
    </fill>
    <fill>
      <patternFill patternType="solid">
        <fgColor theme="0" tint="-0.249977111117893"/>
        <bgColor indexed="64"/>
      </patternFill>
    </fill>
    <fill>
      <patternFill patternType="solid">
        <fgColor rgb="FFFFFFFF"/>
        <bgColor indexed="64"/>
      </patternFill>
    </fill>
  </fills>
  <borders count="28">
    <border>
      <left/>
      <right/>
      <top/>
      <bottom/>
      <diagonal/>
    </border>
    <border>
      <left style="thin">
        <color auto="1"/>
      </left>
      <right style="thin">
        <color auto="1"/>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medium">
        <color indexed="64"/>
      </top>
      <bottom style="medium">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4">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0" xfId="0" applyFont="1" applyFill="1" applyAlignment="1">
      <alignment wrapText="1"/>
    </xf>
    <xf numFmtId="0" fontId="3" fillId="0" borderId="4" xfId="0" applyFont="1" applyBorder="1" applyAlignment="1">
      <alignment horizontal="center" vertical="center" wrapText="1"/>
    </xf>
    <xf numFmtId="14" fontId="3" fillId="0" borderId="5" xfId="0" applyNumberFormat="1" applyFont="1" applyBorder="1" applyAlignment="1">
      <alignment horizontal="left" vertical="center" wrapText="1"/>
    </xf>
    <xf numFmtId="14" fontId="3" fillId="0" borderId="6" xfId="0" applyNumberFormat="1" applyFont="1" applyBorder="1" applyAlignment="1">
      <alignment horizontal="left" vertical="center" wrapText="1"/>
    </xf>
    <xf numFmtId="0" fontId="3" fillId="0" borderId="5" xfId="0" applyFont="1" applyBorder="1" applyAlignment="1">
      <alignment horizontal="left"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15" fontId="3" fillId="0" borderId="8" xfId="0" applyNumberFormat="1" applyFont="1" applyBorder="1" applyAlignment="1">
      <alignment horizontal="center" vertical="center" wrapText="1"/>
    </xf>
    <xf numFmtId="15" fontId="3" fillId="0" borderId="9" xfId="0" applyNumberFormat="1"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1" fillId="0" borderId="6" xfId="1" applyBorder="1" applyAlignment="1">
      <alignment wrapText="1"/>
    </xf>
    <xf numFmtId="0" fontId="3" fillId="0" borderId="0" xfId="0" applyFont="1" applyAlignment="1">
      <alignment vertical="top"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15" fontId="3" fillId="0" borderId="13"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6" xfId="0" applyFont="1" applyBorder="1" applyAlignment="1">
      <alignment vertical="top" wrapText="1"/>
    </xf>
    <xf numFmtId="0" fontId="3" fillId="0" borderId="6" xfId="0" applyFont="1" applyBorder="1" applyAlignment="1">
      <alignment vertical="center" wrapText="1"/>
    </xf>
    <xf numFmtId="15" fontId="3" fillId="0" borderId="15" xfId="0" applyNumberFormat="1" applyFont="1" applyBorder="1" applyAlignment="1">
      <alignment horizontal="center" vertical="center" wrapText="1"/>
    </xf>
    <xf numFmtId="14" fontId="3" fillId="0" borderId="9" xfId="0" applyNumberFormat="1" applyFont="1" applyBorder="1" applyAlignment="1">
      <alignment horizontal="center" vertical="center" wrapText="1"/>
    </xf>
    <xf numFmtId="0" fontId="3" fillId="0" borderId="16" xfId="0" applyFont="1" applyBorder="1" applyAlignment="1">
      <alignment horizontal="center" vertical="center" wrapText="1"/>
    </xf>
    <xf numFmtId="14" fontId="4" fillId="0" borderId="6" xfId="0" applyNumberFormat="1" applyFont="1" applyBorder="1" applyAlignment="1">
      <alignment horizontal="left" vertical="center" wrapText="1"/>
    </xf>
    <xf numFmtId="0" fontId="3" fillId="0" borderId="17" xfId="0" applyFont="1" applyBorder="1" applyAlignment="1">
      <alignment horizontal="center" vertical="center" wrapText="1"/>
    </xf>
    <xf numFmtId="0" fontId="4" fillId="0" borderId="6" xfId="0" applyFont="1" applyBorder="1" applyAlignment="1">
      <alignment vertical="top" wrapText="1"/>
    </xf>
    <xf numFmtId="15" fontId="3" fillId="0" borderId="18" xfId="0" applyNumberFormat="1" applyFont="1" applyBorder="1" applyAlignment="1">
      <alignment horizontal="center" vertical="center" wrapText="1"/>
    </xf>
    <xf numFmtId="15" fontId="3" fillId="0" borderId="12" xfId="0" applyNumberFormat="1" applyFont="1" applyBorder="1" applyAlignment="1">
      <alignment horizontal="center" vertical="center" wrapText="1"/>
    </xf>
    <xf numFmtId="15" fontId="3" fillId="0" borderId="19" xfId="0" applyNumberFormat="1" applyFont="1" applyBorder="1" applyAlignment="1">
      <alignment horizontal="center" vertical="center" wrapText="1"/>
    </xf>
    <xf numFmtId="0" fontId="1" fillId="0" borderId="6" xfId="1" applyBorder="1" applyAlignment="1">
      <alignment vertical="top" wrapText="1"/>
    </xf>
    <xf numFmtId="0" fontId="3" fillId="0" borderId="6" xfId="0" applyFont="1" applyBorder="1" applyAlignment="1">
      <alignment horizontal="left" vertical="center" wrapText="1"/>
    </xf>
    <xf numFmtId="15" fontId="3" fillId="0" borderId="20" xfId="0" applyNumberFormat="1" applyFont="1" applyBorder="1" applyAlignment="1">
      <alignment horizontal="center" vertical="center" wrapText="1"/>
    </xf>
    <xf numFmtId="15" fontId="3" fillId="0" borderId="21" xfId="0" applyNumberFormat="1" applyFont="1" applyBorder="1" applyAlignment="1">
      <alignment horizontal="center" vertical="center" wrapText="1"/>
    </xf>
    <xf numFmtId="15" fontId="6" fillId="0" borderId="9" xfId="0" applyNumberFormat="1" applyFont="1" applyBorder="1" applyAlignment="1">
      <alignment horizontal="center" vertical="center" wrapText="1"/>
    </xf>
    <xf numFmtId="0" fontId="3" fillId="0" borderId="6" xfId="0" applyFont="1" applyBorder="1" applyAlignment="1">
      <alignment wrapText="1"/>
    </xf>
    <xf numFmtId="0" fontId="3" fillId="0" borderId="0" xfId="0" applyFont="1" applyAlignment="1">
      <alignment wrapText="1"/>
    </xf>
    <xf numFmtId="0" fontId="4" fillId="3" borderId="6" xfId="0" applyFont="1" applyFill="1" applyBorder="1" applyAlignment="1">
      <alignment vertical="center" wrapText="1"/>
    </xf>
    <xf numFmtId="0" fontId="6" fillId="0" borderId="6" xfId="0" applyFont="1" applyBorder="1" applyAlignment="1">
      <alignment horizontal="left" vertical="center" wrapText="1"/>
    </xf>
    <xf numFmtId="14" fontId="3" fillId="0" borderId="22" xfId="0" applyNumberFormat="1" applyFont="1" applyBorder="1" applyAlignment="1">
      <alignment horizontal="center" vertical="center" wrapText="1"/>
    </xf>
    <xf numFmtId="0" fontId="0" fillId="0" borderId="9" xfId="0" applyBorder="1" applyAlignment="1">
      <alignment horizontal="left" vertical="center"/>
    </xf>
    <xf numFmtId="0" fontId="3" fillId="0" borderId="9" xfId="0" applyFont="1" applyBorder="1" applyAlignment="1">
      <alignment horizontal="left" vertical="center" wrapText="1"/>
    </xf>
    <xf numFmtId="14" fontId="3" fillId="0" borderId="16" xfId="0" applyNumberFormat="1" applyFont="1" applyBorder="1" applyAlignment="1">
      <alignment horizontal="left" vertical="center" wrapText="1"/>
    </xf>
    <xf numFmtId="0" fontId="6" fillId="0" borderId="6" xfId="0" applyFont="1" applyBorder="1" applyAlignment="1">
      <alignment horizontal="center" vertical="center" wrapText="1"/>
    </xf>
    <xf numFmtId="0" fontId="3" fillId="0" borderId="16" xfId="0" applyFont="1" applyBorder="1" applyAlignment="1">
      <alignment horizontal="left" vertical="center" wrapText="1"/>
    </xf>
    <xf numFmtId="15" fontId="6" fillId="0" borderId="21" xfId="0" applyNumberFormat="1" applyFont="1" applyBorder="1" applyAlignment="1">
      <alignment horizontal="center" vertical="center" wrapText="1"/>
    </xf>
    <xf numFmtId="0" fontId="3" fillId="0" borderId="23" xfId="0" applyFont="1" applyBorder="1" applyAlignment="1">
      <alignment horizontal="center" vertical="center" wrapText="1"/>
    </xf>
    <xf numFmtId="0" fontId="1" fillId="0" borderId="16" xfId="1" applyBorder="1" applyAlignment="1">
      <alignment wrapText="1"/>
    </xf>
    <xf numFmtId="0" fontId="3" fillId="0" borderId="9" xfId="0" applyFont="1" applyBorder="1" applyAlignment="1">
      <alignment horizontal="center" vertical="center" wrapText="1"/>
    </xf>
    <xf numFmtId="0" fontId="3" fillId="0" borderId="13" xfId="0" applyFont="1" applyBorder="1" applyAlignment="1">
      <alignment horizontal="left" vertical="center" wrapText="1"/>
    </xf>
    <xf numFmtId="14" fontId="3" fillId="0" borderId="13" xfId="0" applyNumberFormat="1" applyFont="1" applyBorder="1" applyAlignment="1">
      <alignment horizontal="left" vertical="center" wrapText="1"/>
    </xf>
    <xf numFmtId="14" fontId="3" fillId="0" borderId="9" xfId="0" applyNumberFormat="1" applyFont="1" applyBorder="1" applyAlignment="1">
      <alignment horizontal="left" vertical="center" wrapText="1"/>
    </xf>
    <xf numFmtId="0" fontId="3" fillId="0" borderId="9" xfId="0" applyFont="1" applyBorder="1" applyAlignment="1">
      <alignment wrapText="1"/>
    </xf>
    <xf numFmtId="14" fontId="3" fillId="0" borderId="7" xfId="0" applyNumberFormat="1" applyFont="1" applyBorder="1" applyAlignment="1">
      <alignment horizontal="left" vertical="center" wrapText="1"/>
    </xf>
    <xf numFmtId="15" fontId="6" fillId="0" borderId="19" xfId="0" applyNumberFormat="1" applyFont="1" applyBorder="1" applyAlignment="1">
      <alignment horizontal="center" vertical="center" wrapText="1"/>
    </xf>
    <xf numFmtId="0" fontId="1" fillId="0" borderId="7" xfId="1" applyBorder="1" applyAlignment="1">
      <alignment wrapText="1"/>
    </xf>
    <xf numFmtId="0" fontId="1" fillId="0" borderId="0" xfId="1"/>
    <xf numFmtId="14" fontId="3" fillId="0" borderId="6" xfId="0" applyNumberFormat="1" applyFont="1" applyBorder="1" applyAlignment="1">
      <alignment horizontal="center" vertical="center" wrapText="1"/>
    </xf>
    <xf numFmtId="0" fontId="3" fillId="0" borderId="16" xfId="0" applyFont="1" applyBorder="1" applyAlignment="1">
      <alignment vertical="center" wrapText="1"/>
    </xf>
    <xf numFmtId="14" fontId="3" fillId="0" borderId="16" xfId="0" applyNumberFormat="1" applyFont="1" applyBorder="1" applyAlignment="1">
      <alignment horizontal="center" vertical="center" wrapText="1"/>
    </xf>
    <xf numFmtId="0" fontId="3" fillId="0" borderId="16" xfId="0" applyFont="1" applyBorder="1" applyAlignment="1">
      <alignment wrapText="1"/>
    </xf>
    <xf numFmtId="0" fontId="3" fillId="0" borderId="9" xfId="0" applyFont="1" applyBorder="1" applyAlignment="1">
      <alignment horizontal="center" wrapText="1"/>
    </xf>
    <xf numFmtId="14" fontId="3" fillId="0" borderId="9" xfId="0" applyNumberFormat="1" applyFont="1" applyBorder="1" applyAlignment="1">
      <alignment horizontal="center" wrapText="1"/>
    </xf>
    <xf numFmtId="0" fontId="3" fillId="0" borderId="9" xfId="0" applyFont="1" applyBorder="1" applyAlignment="1">
      <alignment horizontal="left" wrapText="1"/>
    </xf>
    <xf numFmtId="0" fontId="1" fillId="0" borderId="9" xfId="1" applyBorder="1" applyAlignment="1">
      <alignment wrapText="1"/>
    </xf>
    <xf numFmtId="0" fontId="3" fillId="0" borderId="13" xfId="0" applyFont="1" applyBorder="1" applyAlignment="1">
      <alignment horizontal="left" wrapText="1"/>
    </xf>
    <xf numFmtId="0" fontId="3" fillId="0" borderId="21" xfId="0" applyFont="1" applyBorder="1" applyAlignment="1">
      <alignment horizontal="center" vertical="center" wrapText="1"/>
    </xf>
    <xf numFmtId="0" fontId="3" fillId="0" borderId="6" xfId="0" applyFont="1" applyBorder="1" applyAlignment="1">
      <alignment horizontal="center" wrapText="1"/>
    </xf>
    <xf numFmtId="0" fontId="3" fillId="0" borderId="0" xfId="0" applyFont="1" applyAlignment="1">
      <alignment horizontal="center" wrapText="1"/>
    </xf>
    <xf numFmtId="0" fontId="3" fillId="0" borderId="0" xfId="0" applyFont="1" applyAlignment="1">
      <alignment horizontal="left" wrapText="1"/>
    </xf>
    <xf numFmtId="0" fontId="3" fillId="0" borderId="0" xfId="0" applyFont="1" applyAlignment="1">
      <alignment vertical="center" wrapText="1"/>
    </xf>
    <xf numFmtId="1" fontId="3" fillId="0" borderId="6" xfId="0" applyNumberFormat="1" applyFont="1" applyBorder="1" applyAlignment="1">
      <alignment horizontal="center" vertical="center" wrapText="1"/>
    </xf>
    <xf numFmtId="1" fontId="3" fillId="0" borderId="6" xfId="0" applyNumberFormat="1" applyFont="1" applyBorder="1" applyAlignment="1">
      <alignment horizontal="center" wrapText="1"/>
    </xf>
    <xf numFmtId="0" fontId="2" fillId="2" borderId="24" xfId="0" applyFont="1" applyFill="1" applyBorder="1" applyAlignment="1">
      <alignment horizontal="left" vertical="center" wrapText="1"/>
    </xf>
    <xf numFmtId="14" fontId="3" fillId="0" borderId="25" xfId="0" applyNumberFormat="1" applyFont="1" applyBorder="1" applyAlignment="1">
      <alignment horizontal="left" vertical="center" wrapText="1"/>
    </xf>
    <xf numFmtId="14" fontId="3" fillId="0" borderId="22" xfId="0" applyNumberFormat="1" applyFont="1" applyBorder="1" applyAlignment="1">
      <alignment horizontal="left" vertical="center" wrapText="1"/>
    </xf>
    <xf numFmtId="14" fontId="3" fillId="0" borderId="26" xfId="0" applyNumberFormat="1" applyFont="1" applyBorder="1" applyAlignment="1">
      <alignment horizontal="left" vertical="center" wrapText="1"/>
    </xf>
    <xf numFmtId="14" fontId="3" fillId="0" borderId="27" xfId="0" applyNumberFormat="1" applyFont="1" applyBorder="1" applyAlignment="1">
      <alignment horizontal="left" vertical="center" wrapText="1"/>
    </xf>
    <xf numFmtId="0" fontId="3" fillId="0" borderId="22" xfId="0" applyFont="1" applyBorder="1" applyAlignment="1">
      <alignment horizontal="left" wrapText="1"/>
    </xf>
    <xf numFmtId="1" fontId="2" fillId="2" borderId="6" xfId="0" applyNumberFormat="1" applyFont="1" applyFill="1" applyBorder="1" applyAlignment="1">
      <alignment horizontal="center" vertical="center" wrapText="1"/>
    </xf>
  </cellXfs>
  <cellStyles count="2">
    <cellStyle name="Hyperlink" xfId="1" builtinId="8"/>
    <cellStyle name="Normal" xfId="0" builtinId="0"/>
  </cellStyles>
  <dxfs count="4">
    <dxf>
      <fill>
        <patternFill>
          <bgColor rgb="FF00B050"/>
        </patternFill>
      </fill>
    </dxf>
    <dxf>
      <fill>
        <patternFill>
          <bgColor rgb="FFFFC000"/>
        </patternFill>
      </fill>
    </dxf>
    <dxf>
      <fill>
        <patternFill>
          <bgColor rgb="FFFF0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111125</xdr:colOff>
      <xdr:row>0</xdr:row>
      <xdr:rowOff>122996</xdr:rowOff>
    </xdr:to>
    <xdr:sp macro="" textlink="">
      <xdr:nvSpPr>
        <xdr:cNvPr id="2" name="Text Box 3">
          <a:extLst>
            <a:ext uri="{FF2B5EF4-FFF2-40B4-BE49-F238E27FC236}">
              <a16:creationId xmlns:a16="http://schemas.microsoft.com/office/drawing/2014/main" id="{1B7A07AE-B30C-44D6-80CE-8E044C72EE95}"/>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3" name="Text Box 4">
          <a:extLst>
            <a:ext uri="{FF2B5EF4-FFF2-40B4-BE49-F238E27FC236}">
              <a16:creationId xmlns:a16="http://schemas.microsoft.com/office/drawing/2014/main" id="{CC89BC26-4878-4151-8F5A-5575E1929DF5}"/>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4" name="Text Box 5">
          <a:extLst>
            <a:ext uri="{FF2B5EF4-FFF2-40B4-BE49-F238E27FC236}">
              <a16:creationId xmlns:a16="http://schemas.microsoft.com/office/drawing/2014/main" id="{76D4EC86-8E83-43F3-8CB7-19C9DE20AD63}"/>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5" name="Text Box 6">
          <a:extLst>
            <a:ext uri="{FF2B5EF4-FFF2-40B4-BE49-F238E27FC236}">
              <a16:creationId xmlns:a16="http://schemas.microsoft.com/office/drawing/2014/main" id="{044EB5D8-421F-487A-825E-2B01A5C95D01}"/>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6" name="Text Box 7">
          <a:extLst>
            <a:ext uri="{FF2B5EF4-FFF2-40B4-BE49-F238E27FC236}">
              <a16:creationId xmlns:a16="http://schemas.microsoft.com/office/drawing/2014/main" id="{498DCB73-907B-4FCD-B476-F7C41809A695}"/>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7" name="Text Box 8">
          <a:extLst>
            <a:ext uri="{FF2B5EF4-FFF2-40B4-BE49-F238E27FC236}">
              <a16:creationId xmlns:a16="http://schemas.microsoft.com/office/drawing/2014/main" id="{BCCF461C-8D55-4A2E-B1B7-225B7312EA80}"/>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8" name="Text Box 9">
          <a:extLst>
            <a:ext uri="{FF2B5EF4-FFF2-40B4-BE49-F238E27FC236}">
              <a16:creationId xmlns:a16="http://schemas.microsoft.com/office/drawing/2014/main" id="{161DF522-04A3-4E9E-BB96-BEF29C5D379A}"/>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9" name="Text Box 10">
          <a:extLst>
            <a:ext uri="{FF2B5EF4-FFF2-40B4-BE49-F238E27FC236}">
              <a16:creationId xmlns:a16="http://schemas.microsoft.com/office/drawing/2014/main" id="{E13EB43D-EE66-438F-9FE4-A1BED77FC107}"/>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10" name="Text Box 11">
          <a:extLst>
            <a:ext uri="{FF2B5EF4-FFF2-40B4-BE49-F238E27FC236}">
              <a16:creationId xmlns:a16="http://schemas.microsoft.com/office/drawing/2014/main" id="{330DEA6C-E121-48DB-8337-717BF118B7B5}"/>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11" name="Text Box 12">
          <a:extLst>
            <a:ext uri="{FF2B5EF4-FFF2-40B4-BE49-F238E27FC236}">
              <a16:creationId xmlns:a16="http://schemas.microsoft.com/office/drawing/2014/main" id="{99E43201-4B4B-48EF-8E19-ADE06E59749F}"/>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12" name="Text Box 13">
          <a:extLst>
            <a:ext uri="{FF2B5EF4-FFF2-40B4-BE49-F238E27FC236}">
              <a16:creationId xmlns:a16="http://schemas.microsoft.com/office/drawing/2014/main" id="{1228D2DC-D59F-44AD-B774-8C2035B9DDD5}"/>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13" name="Text Box 14">
          <a:extLst>
            <a:ext uri="{FF2B5EF4-FFF2-40B4-BE49-F238E27FC236}">
              <a16:creationId xmlns:a16="http://schemas.microsoft.com/office/drawing/2014/main" id="{23C11D1E-DAD4-4FA6-977D-444D672C0E67}"/>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0</xdr:colOff>
      <xdr:row>0</xdr:row>
      <xdr:rowOff>0</xdr:rowOff>
    </xdr:from>
    <xdr:to>
      <xdr:col>5</xdr:col>
      <xdr:colOff>111125</xdr:colOff>
      <xdr:row>0</xdr:row>
      <xdr:rowOff>122996</xdr:rowOff>
    </xdr:to>
    <xdr:sp macro="" textlink="">
      <xdr:nvSpPr>
        <xdr:cNvPr id="14" name="Text Box 15">
          <a:extLst>
            <a:ext uri="{FF2B5EF4-FFF2-40B4-BE49-F238E27FC236}">
              <a16:creationId xmlns:a16="http://schemas.microsoft.com/office/drawing/2014/main" id="{6E828898-BB29-496A-BD1C-4E3A491F08FD}"/>
            </a:ext>
          </a:extLst>
        </xdr:cNvPr>
        <xdr:cNvSpPr txBox="1">
          <a:spLocks noChangeArrowheads="1"/>
        </xdr:cNvSpPr>
      </xdr:nvSpPr>
      <xdr:spPr bwMode="auto">
        <a:xfrm>
          <a:off x="6835140" y="129540"/>
          <a:ext cx="111125" cy="1229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1</xdr:colOff>
      <xdr:row>3</xdr:row>
      <xdr:rowOff>1</xdr:rowOff>
    </xdr:from>
    <xdr:to>
      <xdr:col>6</xdr:col>
      <xdr:colOff>609601</xdr:colOff>
      <xdr:row>3</xdr:row>
      <xdr:rowOff>568069</xdr:rowOff>
    </xdr:to>
    <xdr:pic>
      <xdr:nvPicPr>
        <xdr:cNvPr id="15" name="Picture 14">
          <a:extLst>
            <a:ext uri="{FF2B5EF4-FFF2-40B4-BE49-F238E27FC236}">
              <a16:creationId xmlns:a16="http://schemas.microsoft.com/office/drawing/2014/main" id="{C221BCF0-BB01-4F82-9A68-E4C562911D1F}"/>
            </a:ext>
          </a:extLst>
        </xdr:cNvPr>
        <xdr:cNvPicPr>
          <a:picLocks noChangeAspect="1"/>
        </xdr:cNvPicPr>
      </xdr:nvPicPr>
      <xdr:blipFill>
        <a:blip xmlns:r="http://schemas.openxmlformats.org/officeDocument/2006/relationships" r:embed="rId1"/>
        <a:stretch>
          <a:fillRect/>
        </a:stretch>
      </xdr:blipFill>
      <xdr:spPr>
        <a:xfrm>
          <a:off x="9639301" y="1295401"/>
          <a:ext cx="609600" cy="568068"/>
        </a:xfrm>
        <a:prstGeom prst="rect">
          <a:avLst/>
        </a:prstGeom>
      </xdr:spPr>
    </xdr:pic>
    <xdr:clientData/>
  </xdr:twoCellAnchor>
  <xdr:twoCellAnchor editAs="oneCell">
    <xdr:from>
      <xdr:col>6</xdr:col>
      <xdr:colOff>626849</xdr:colOff>
      <xdr:row>3</xdr:row>
      <xdr:rowOff>17928</xdr:rowOff>
    </xdr:from>
    <xdr:to>
      <xdr:col>6</xdr:col>
      <xdr:colOff>1298543</xdr:colOff>
      <xdr:row>3</xdr:row>
      <xdr:rowOff>606909</xdr:rowOff>
    </xdr:to>
    <xdr:pic>
      <xdr:nvPicPr>
        <xdr:cNvPr id="16" name="Picture 15">
          <a:extLst>
            <a:ext uri="{FF2B5EF4-FFF2-40B4-BE49-F238E27FC236}">
              <a16:creationId xmlns:a16="http://schemas.microsoft.com/office/drawing/2014/main" id="{44D51507-3ADF-4125-9381-0329A3CCF046}"/>
            </a:ext>
          </a:extLst>
        </xdr:cNvPr>
        <xdr:cNvPicPr>
          <a:picLocks noChangeAspect="1"/>
        </xdr:cNvPicPr>
      </xdr:nvPicPr>
      <xdr:blipFill>
        <a:blip xmlns:r="http://schemas.openxmlformats.org/officeDocument/2006/relationships" r:embed="rId2"/>
        <a:stretch>
          <a:fillRect/>
        </a:stretch>
      </xdr:blipFill>
      <xdr:spPr>
        <a:xfrm>
          <a:off x="10266149" y="1313328"/>
          <a:ext cx="671694" cy="588981"/>
        </a:xfrm>
        <a:prstGeom prst="rect">
          <a:avLst/>
        </a:prstGeom>
      </xdr:spPr>
    </xdr:pic>
    <xdr:clientData/>
  </xdr:twoCellAnchor>
  <xdr:twoCellAnchor editAs="oneCell">
    <xdr:from>
      <xdr:col>6</xdr:col>
      <xdr:colOff>361950</xdr:colOff>
      <xdr:row>5</xdr:row>
      <xdr:rowOff>19050</xdr:rowOff>
    </xdr:from>
    <xdr:to>
      <xdr:col>6</xdr:col>
      <xdr:colOff>1101725</xdr:colOff>
      <xdr:row>10</xdr:row>
      <xdr:rowOff>415925</xdr:rowOff>
    </xdr:to>
    <xdr:pic>
      <xdr:nvPicPr>
        <xdr:cNvPr id="17" name="Picture 16">
          <a:extLst>
            <a:ext uri="{FF2B5EF4-FFF2-40B4-BE49-F238E27FC236}">
              <a16:creationId xmlns:a16="http://schemas.microsoft.com/office/drawing/2014/main" id="{D5C17F96-FBB0-431D-8B66-ED64C81CE73B}"/>
            </a:ext>
            <a:ext uri="{147F2762-F138-4A5C-976F-8EAC2B608ADB}">
              <a16:predDERef xmlns:a16="http://schemas.microsoft.com/office/drawing/2014/main" pred="{80315B96-726E-E54A-5F16-DE8B1E7DB5AD}"/>
            </a:ext>
          </a:extLst>
        </xdr:cNvPr>
        <xdr:cNvPicPr>
          <a:picLocks noChangeAspect="1"/>
        </xdr:cNvPicPr>
      </xdr:nvPicPr>
      <xdr:blipFill>
        <a:blip xmlns:r="http://schemas.openxmlformats.org/officeDocument/2006/relationships" r:embed="rId3"/>
        <a:stretch>
          <a:fillRect/>
        </a:stretch>
      </xdr:blipFill>
      <xdr:spPr>
        <a:xfrm>
          <a:off x="10001250" y="2933700"/>
          <a:ext cx="739775" cy="415925"/>
        </a:xfrm>
        <a:prstGeom prst="rect">
          <a:avLst/>
        </a:prstGeom>
      </xdr:spPr>
    </xdr:pic>
    <xdr:clientData/>
  </xdr:twoCellAnchor>
  <xdr:twoCellAnchor editAs="oneCell">
    <xdr:from>
      <xdr:col>6</xdr:col>
      <xdr:colOff>276225</xdr:colOff>
      <xdr:row>20</xdr:row>
      <xdr:rowOff>9525</xdr:rowOff>
    </xdr:from>
    <xdr:to>
      <xdr:col>6</xdr:col>
      <xdr:colOff>1196340</xdr:colOff>
      <xdr:row>20</xdr:row>
      <xdr:rowOff>462915</xdr:rowOff>
    </xdr:to>
    <xdr:pic>
      <xdr:nvPicPr>
        <xdr:cNvPr id="18" name="Picture 17">
          <a:extLst>
            <a:ext uri="{FF2B5EF4-FFF2-40B4-BE49-F238E27FC236}">
              <a16:creationId xmlns:a16="http://schemas.microsoft.com/office/drawing/2014/main" id="{3C250AFF-C2E0-4692-97C4-98498DDD63F1}"/>
            </a:ext>
            <a:ext uri="{147F2762-F138-4A5C-976F-8EAC2B608ADB}">
              <a16:predDERef xmlns:a16="http://schemas.microsoft.com/office/drawing/2014/main" pred="{F21715EE-2A7B-7C56-9085-E1D0984136DD}"/>
            </a:ext>
          </a:extLst>
        </xdr:cNvPr>
        <xdr:cNvPicPr>
          <a:picLocks noChangeAspect="1"/>
        </xdr:cNvPicPr>
      </xdr:nvPicPr>
      <xdr:blipFill>
        <a:blip xmlns:r="http://schemas.openxmlformats.org/officeDocument/2006/relationships" r:embed="rId4"/>
        <a:stretch>
          <a:fillRect/>
        </a:stretch>
      </xdr:blipFill>
      <xdr:spPr>
        <a:xfrm>
          <a:off x="9915525" y="11332845"/>
          <a:ext cx="920115" cy="453390"/>
        </a:xfrm>
        <a:prstGeom prst="rect">
          <a:avLst/>
        </a:prstGeom>
      </xdr:spPr>
    </xdr:pic>
    <xdr:clientData/>
  </xdr:twoCellAnchor>
  <xdr:twoCellAnchor editAs="oneCell">
    <xdr:from>
      <xdr:col>6</xdr:col>
      <xdr:colOff>363072</xdr:colOff>
      <xdr:row>36</xdr:row>
      <xdr:rowOff>32945</xdr:rowOff>
    </xdr:from>
    <xdr:to>
      <xdr:col>6</xdr:col>
      <xdr:colOff>914399</xdr:colOff>
      <xdr:row>36</xdr:row>
      <xdr:rowOff>612570</xdr:rowOff>
    </xdr:to>
    <xdr:pic>
      <xdr:nvPicPr>
        <xdr:cNvPr id="19" name="Picture 3">
          <a:extLst>
            <a:ext uri="{FF2B5EF4-FFF2-40B4-BE49-F238E27FC236}">
              <a16:creationId xmlns:a16="http://schemas.microsoft.com/office/drawing/2014/main" id="{17F78E1C-4B0D-489E-ADC1-F851EB2F3F63}"/>
            </a:ext>
          </a:extLst>
        </xdr:cNvPr>
        <xdr:cNvPicPr>
          <a:picLocks noChangeAspect="1"/>
        </xdr:cNvPicPr>
      </xdr:nvPicPr>
      <xdr:blipFill>
        <a:blip xmlns:r="http://schemas.openxmlformats.org/officeDocument/2006/relationships" r:embed="rId5"/>
        <a:stretch>
          <a:fillRect/>
        </a:stretch>
      </xdr:blipFill>
      <xdr:spPr>
        <a:xfrm>
          <a:off x="10002372" y="18618125"/>
          <a:ext cx="551327" cy="579625"/>
        </a:xfrm>
        <a:prstGeom prst="rect">
          <a:avLst/>
        </a:prstGeom>
      </xdr:spPr>
    </xdr:pic>
    <xdr:clientData/>
  </xdr:twoCellAnchor>
  <xdr:twoCellAnchor editAs="oneCell">
    <xdr:from>
      <xdr:col>5</xdr:col>
      <xdr:colOff>606238</xdr:colOff>
      <xdr:row>36</xdr:row>
      <xdr:rowOff>42246</xdr:rowOff>
    </xdr:from>
    <xdr:to>
      <xdr:col>5</xdr:col>
      <xdr:colOff>1793538</xdr:colOff>
      <xdr:row>36</xdr:row>
      <xdr:rowOff>606318</xdr:rowOff>
    </xdr:to>
    <xdr:pic>
      <xdr:nvPicPr>
        <xdr:cNvPr id="20" name="Picture 19">
          <a:extLst>
            <a:ext uri="{FF2B5EF4-FFF2-40B4-BE49-F238E27FC236}">
              <a16:creationId xmlns:a16="http://schemas.microsoft.com/office/drawing/2014/main" id="{C0052BF6-8735-4CB6-B88D-4A502C07D377}"/>
            </a:ext>
            <a:ext uri="{147F2762-F138-4A5C-976F-8EAC2B608ADB}">
              <a16:predDERef xmlns:a16="http://schemas.microsoft.com/office/drawing/2014/main" pred="{56050F4F-0049-A68B-9466-BF8EF6D8129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flipV="1">
          <a:off x="7441378" y="18627426"/>
          <a:ext cx="1187300" cy="564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joshi15_jaguarlandrover_com/Documents/PROJECTS/D7A-21MY/100_PVT%20Handover/20210414_Project%20Tracking%20Sheet_D7A.xlsx" TargetMode="External"/><Relationship Id="rId1" Type="http://schemas.openxmlformats.org/officeDocument/2006/relationships/externalLinkPath" Target="/personal/sjoshi15_jaguarlandrover_com/Documents/PROJECTS/D7A-21MY/100_PVT%20Handover/20210414_Project%20Tracking%20Sheet_D7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QP"/>
      <sheetName val="PSW Timings"/>
      <sheetName val="Releases"/>
      <sheetName val="Build_Support"/>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jlrglobal.sharepoint.com/:p:/r/sites/MLA27MYMCFSV-EXTERIORS_GRP/_layouts/15/Doc.aspx?sourcedoc=%7B7949E75C-8787-41D5-9AEE-55995AF052D0%7D&amp;file=20251010_L460%2028MY%20SV%20Radiator%20Grille%20Stress%20Mark%20Deviation.pptx&amp;action=edit&amp;mobileredirect=true" TargetMode="External"/><Relationship Id="rId18" Type="http://schemas.openxmlformats.org/officeDocument/2006/relationships/hyperlink" Target="https://jlrglobal.sharepoint.com/sites/tableau" TargetMode="External"/><Relationship Id="rId26" Type="http://schemas.openxmlformats.org/officeDocument/2006/relationships/hyperlink" Target="https://jlrglobal.sharepoint.com/sites/3d-experience-training-online/SitePages/3DExperience-Training-AIMS2.aspx" TargetMode="External"/><Relationship Id="rId3" Type="http://schemas.openxmlformats.org/officeDocument/2006/relationships/hyperlink" Target="https://jlrglobal.sharepoint.com/sites/3d-experience-training-online/Shared%20Documents/Forms/tags.aspx?id=%2Fsites%2F3d%2Dexperience%2Dtraining%2Donline%2FShared%20Documents%2FDocumentation%2FIn%20Vehicle%20Software%20%28IVS%29%2FCAD%20%2D%20Subsequent%2FBranching%20%28up%2DCLI%29%20the%20EI%2Epdf&amp;parent=%2Fsites%2F3d%2Dexperience%2Dtraining%2Donline%2FShared%20Documents%2FDocumentation%2FIn%20Vehicle%20Software%20%28IVS%29%2FCAD%20%2D%20Subsequent" TargetMode="External"/><Relationship Id="rId21" Type="http://schemas.openxmlformats.org/officeDocument/2006/relationships/hyperlink" Target="https://jlrglobal.sharepoint.com/sites/3d-experience-training-online/_layouts/15/stream.aspx?id=%2Fsites%2F3d%2Dexperience%2Dtraining%2Donline%2FShared%20Documents%2FMP4%20Videos%2FP%20Release%20for%20L481and%20EMA%2FWebinars%2FCOBOT%20webinar%2Dincrease%20quantity%2C%20position%20only%2C%20add%20new%20EI%2Emp4&amp;referrer=StreamWebApp%2EWeb&amp;referrerScenario=AddressBarCopied%2Eview%2E99bed3f5%2De0cc%2D47b9%2D873c%2Df22a7642d9ce" TargetMode="External"/><Relationship Id="rId34" Type="http://schemas.openxmlformats.org/officeDocument/2006/relationships/printerSettings" Target="../printerSettings/printerSettings1.bin"/><Relationship Id="rId7" Type="http://schemas.openxmlformats.org/officeDocument/2006/relationships/hyperlink" Target="https://jlrglobal.sharepoint.com/sites/veps/Shared%20Documents/Forms/AllItems.aspx?csf=1&amp;web=1&amp;e=7yuhNN&amp;CID=f611b62c%2D9ffa%2D4ba0%2Da7b7%2Dd9cfbd1bcfb4&amp;FolderCTID=0x01200002B3E001137568418B8A2B302F89CC7F&amp;id=%2Fsites%2Fveps%2FShared%20Documents%2F01%2E%20VEPS%20SCHEDULES%2FTOP%20HAT%2FBES" TargetMode="External"/><Relationship Id="rId12" Type="http://schemas.openxmlformats.org/officeDocument/2006/relationships/hyperlink" Target="https://hrselfservice.jlrint.com/hr_direct/cgi-bin/pcr000af.cgi" TargetMode="External"/><Relationship Id="rId17" Type="http://schemas.openxmlformats.org/officeDocument/2006/relationships/hyperlink" Target="http://www.sdots.jaguar.ford.com/quickstart.asp" TargetMode="External"/><Relationship Id="rId25" Type="http://schemas.openxmlformats.org/officeDocument/2006/relationships/hyperlink" Target="https://comm.sp.jlrint.com/sites/engstd/rmdv/default.aspx" TargetMode="External"/><Relationship Id="rId33" Type="http://schemas.openxmlformats.org/officeDocument/2006/relationships/hyperlink" Target="https://jlrglobal.sharepoint.com/sites/3d-experience-training-online/SitePages/Training%20-%20Commodity%20Planning.aspx?csf=1&amp;web=1&amp;e=IH94Orhttp://" TargetMode="External"/><Relationship Id="rId2" Type="http://schemas.openxmlformats.org/officeDocument/2006/relationships/hyperlink" Target="https://jlrglobal.sharepoint.com/sites/3d-experience-training-online/Shared%20Documents/Forms/tags.aspx?FolderCTID=0x012000C9C240285E0AC546BA408F045C50594F&amp;id=%2Fsites%2F3d%2Dexperience%2Dtraining%2Donline%2FShared%20Documents%2FDocumentation%2FP%20Release%20for%20L481%20and%20EMA%2FTactical%20release%20process%2FInitial%20P%20Release%2FEDS" TargetMode="External"/><Relationship Id="rId16" Type="http://schemas.openxmlformats.org/officeDocument/2006/relationships/hyperlink" Target="https://www.dart.jlrint.com:8109/DART_WEB/Welcome.do" TargetMode="External"/><Relationship Id="rId20" Type="http://schemas.openxmlformats.org/officeDocument/2006/relationships/hyperlink" Target="https://jlrglobal.sharepoint.com/sites/3d-experience-training-online/_layouts/15/stream.aspx?id=%2Fsites%2F3d-experience-training-online%2FShared+Documents%2FMP4+Videos%2FUBOM%2FCAD%2FEBOM+change+request+during+virtual+series.mp4&amp;startedResponseCatch=true&amp;referrer=StreamWebApp.Web&amp;referrerScenario=AddressBarCopied.view.10d594c9-d275-443a-85ed-44865f5c653c" TargetMode="External"/><Relationship Id="rId29" Type="http://schemas.openxmlformats.org/officeDocument/2006/relationships/hyperlink" Target="https://jlrglobal.sharepoint.com/sites/3d-experience-training-online/SitePages/Transition-to-UBOM.aspx" TargetMode="External"/><Relationship Id="rId1" Type="http://schemas.openxmlformats.org/officeDocument/2006/relationships/hyperlink" Target="https://rads.jlrint.com/ppir/ppir.asp" TargetMode="External"/><Relationship Id="rId6" Type="http://schemas.openxmlformats.org/officeDocument/2006/relationships/hyperlink" Target="https://outlook.office.com/book/APQP3DXTrainingBooking@jlrglobal.onmicrosoft.com/?ismsaljsauthenabled=true" TargetMode="External"/><Relationship Id="rId11" Type="http://schemas.openxmlformats.org/officeDocument/2006/relationships/hyperlink" Target="https://hrselfservice.jlrint.com/hr_direct/cgi-bin/pcr000af.cgi" TargetMode="External"/><Relationship Id="rId24" Type="http://schemas.openxmlformats.org/officeDocument/2006/relationships/hyperlink" Target="https://comm.sp.jlrint.com/sites/engstd/rmdv/default.aspx" TargetMode="External"/><Relationship Id="rId32" Type="http://schemas.openxmlformats.org/officeDocument/2006/relationships/hyperlink" Target="https://jlrglobal.sharepoint.com/sites/3d-experience-training-online/SitePages/Training-Evidence-Based-Engineering-Review-(EBER).aspx" TargetMode="External"/><Relationship Id="rId5" Type="http://schemas.openxmlformats.org/officeDocument/2006/relationships/hyperlink" Target="https://jlrglobal.sharepoint.com/sites/3d-experience-training-online/_layouts/15/stream.aspx?id=%2Fsites%2F3d%2Dexperience%2Dtraining%2Donline%2FShared%20Documents%2FDocumentation%2FP%20Release%20for%20L481%20and%20EMA%2FTactical%20release%20process%2FInitial%20P%20Release%2FMLA%20IR%20Webinar%2Emp4&amp;nav=eyJwbGF5YmFja09wdGlvbnMiOnsic3RhcnRUaW1lSW5TZWNvbmRzIjoxMC4wMjI3OTd9fQ%3D%3D&amp;referrer=StreamWebApp%2EWeb&amp;referrerScenario=AddressBarCopied%2Eview%2Ebcf6b74f%2D258b%2D435a%2Dbb11%2Db62e5ece4088" TargetMode="External"/><Relationship Id="rId15" Type="http://schemas.openxmlformats.org/officeDocument/2006/relationships/hyperlink" Target="https://hrselfservice.jlrint.com/hr_direct/cgi-bin/pcr000af.cgi" TargetMode="External"/><Relationship Id="rId23" Type="http://schemas.openxmlformats.org/officeDocument/2006/relationships/hyperlink" Target="https://comm.sp.jlrint.com/sites/engstd/rmdv/default.aspx" TargetMode="External"/><Relationship Id="rId28" Type="http://schemas.openxmlformats.org/officeDocument/2006/relationships/hyperlink" Target="http://www.etracker.jlr.ford.com/apps/addissues/EditIssue.asp?IssueID=12738886&amp;ProjectID=PACN" TargetMode="External"/><Relationship Id="rId10" Type="http://schemas.openxmlformats.org/officeDocument/2006/relationships/hyperlink" Target="https://hrselfservice.jlrint.com/hr_direct/cgi-bin/pcr000af.cgi" TargetMode="External"/><Relationship Id="rId19" Type="http://schemas.openxmlformats.org/officeDocument/2006/relationships/hyperlink" Target="https://jlrglobal.sharepoint.com/sites/fastener-engineering/SitePages/Fastener-Engineering.aspx" TargetMode="External"/><Relationship Id="rId31" Type="http://schemas.openxmlformats.org/officeDocument/2006/relationships/hyperlink" Target="https://jlrglobal.sharepoint.com/sites/c3png-self-help/SitePages/Worldwide-Engineering-Releasing-System-(WERS)---ALERTS.aspx" TargetMode="External"/><Relationship Id="rId4" Type="http://schemas.openxmlformats.org/officeDocument/2006/relationships/hyperlink" Target="https://jlrglobal.sharepoint.com/sites/3d-experience-training-online/SitePages/Webinar%20Schedule.aspx?csf=1&amp;e=5BMt4m" TargetMode="External"/><Relationship Id="rId9" Type="http://schemas.openxmlformats.org/officeDocument/2006/relationships/hyperlink" Target="https://hrselfservice.jlrint.com/hr_direct/cgi-bin/pcr000af.cgi" TargetMode="External"/><Relationship Id="rId14" Type="http://schemas.openxmlformats.org/officeDocument/2006/relationships/hyperlink" Target="https://hrselfservice.jlrint.com/hr_direct/cgi-bin/pcr000af.cgi" TargetMode="External"/><Relationship Id="rId22" Type="http://schemas.openxmlformats.org/officeDocument/2006/relationships/hyperlink" Target="https://jlrglobal.sharepoint.com/sites/planning-hub/SitePages/home.aspx" TargetMode="External"/><Relationship Id="rId27" Type="http://schemas.openxmlformats.org/officeDocument/2006/relationships/hyperlink" Target="https://jlrglobal.sharepoint.com/sites/icreate-v2/" TargetMode="External"/><Relationship Id="rId30" Type="http://schemas.openxmlformats.org/officeDocument/2006/relationships/hyperlink" Target="https://jlrglobal.sharepoint.com/sites/c3png-self-help/SitePages/Worldwide-Engineering-Releasing-System-(WERS)---PROFILE.aspx" TargetMode="External"/><Relationship Id="rId35" Type="http://schemas.openxmlformats.org/officeDocument/2006/relationships/drawing" Target="../drawings/drawing1.xml"/><Relationship Id="rId8" Type="http://schemas.openxmlformats.org/officeDocument/2006/relationships/hyperlink" Target="https://jlrglobal.sharepoint.com/:x:/r/sites/L663SV27MYEU7EmissionsUpdate_GRP2/Shared%20Documents/General/05%20Engineering/Sagar/L663%2026MY%20SV%20OCTA%20%26%20MCF/PPD/Minth/EDP-PPD.XLSX?d=w5d94a37ce9e241fbad213405993712f0&amp;csf=1&amp;web=1&amp;e=YCw3q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0531-E310-4582-A12E-F16B8AA7E59A}">
  <sheetPr filterMode="1"/>
  <dimension ref="A1:S127"/>
  <sheetViews>
    <sheetView tabSelected="1" zoomScale="70" zoomScaleNormal="70" workbookViewId="0">
      <pane ySplit="1" topLeftCell="A2" activePane="bottomLeft" state="frozen"/>
      <selection pane="bottomLeft" activeCell="H45" sqref="H45"/>
    </sheetView>
  </sheetViews>
  <sheetFormatPr defaultColWidth="9.140625" defaultRowHeight="11.25" customHeight="1"/>
  <cols>
    <col min="1" max="1" width="8.140625" style="76" bestFit="1" customWidth="1"/>
    <col min="2" max="2" width="17.85546875" style="73" customWidth="1"/>
    <col min="3" max="3" width="11.28515625" style="72" customWidth="1"/>
    <col min="4" max="4" width="34" style="40" customWidth="1"/>
    <col min="5" max="5" width="32" style="40" customWidth="1"/>
    <col min="6" max="6" width="42.140625" style="40" customWidth="1"/>
    <col min="7" max="7" width="19.85546875" style="74" customWidth="1"/>
    <col min="8" max="8" width="14.85546875" style="40" bestFit="1" customWidth="1"/>
    <col min="9" max="9" width="16.140625" style="72" bestFit="1" customWidth="1"/>
    <col min="10" max="10" width="16" style="14" customWidth="1"/>
    <col min="11" max="11" width="13" style="40" bestFit="1" customWidth="1"/>
    <col min="12" max="12" width="8.28515625" style="40" bestFit="1" customWidth="1"/>
    <col min="13" max="13" width="113.140625" style="40" customWidth="1"/>
    <col min="14" max="14" width="30.5703125" style="40" customWidth="1"/>
    <col min="15" max="16" width="9.140625" style="40"/>
    <col min="17" max="17" width="13.7109375" style="40" customWidth="1"/>
    <col min="18" max="18" width="13.42578125" style="40" customWidth="1"/>
    <col min="19" max="16384" width="9.140625" style="40"/>
  </cols>
  <sheetData>
    <row r="1" spans="1:14" s="5" customFormat="1" ht="10.9" thickBot="1">
      <c r="A1" s="83" t="s">
        <v>0</v>
      </c>
      <c r="B1" s="77" t="s">
        <v>1</v>
      </c>
      <c r="C1" s="1" t="s">
        <v>2</v>
      </c>
      <c r="D1" s="1" t="s">
        <v>3</v>
      </c>
      <c r="E1" s="1" t="s">
        <v>4</v>
      </c>
      <c r="F1" s="1" t="s">
        <v>5</v>
      </c>
      <c r="G1" s="2" t="s">
        <v>6</v>
      </c>
      <c r="H1" s="1" t="s">
        <v>7</v>
      </c>
      <c r="I1" s="1" t="s">
        <v>8</v>
      </c>
      <c r="J1" s="3" t="s">
        <v>9</v>
      </c>
      <c r="K1" s="1" t="s">
        <v>10</v>
      </c>
      <c r="L1" s="4" t="s">
        <v>11</v>
      </c>
      <c r="M1" s="4" t="s">
        <v>12</v>
      </c>
      <c r="N1" s="5" t="s">
        <v>13</v>
      </c>
    </row>
    <row r="2" spans="1:14" s="17" customFormat="1" ht="40.9">
      <c r="A2" s="75">
        <f>ROW()-2</f>
        <v>0</v>
      </c>
      <c r="B2" s="78" t="s">
        <v>14</v>
      </c>
      <c r="C2" s="8" t="s">
        <v>15</v>
      </c>
      <c r="D2" s="9" t="s">
        <v>16</v>
      </c>
      <c r="E2" s="9" t="s">
        <v>17</v>
      </c>
      <c r="F2" s="9" t="s">
        <v>18</v>
      </c>
      <c r="G2" s="10" t="s">
        <v>19</v>
      </c>
      <c r="H2" s="11" t="s">
        <v>20</v>
      </c>
      <c r="I2" s="12">
        <v>45785</v>
      </c>
      <c r="J2" s="13">
        <v>45800</v>
      </c>
      <c r="K2" s="14" t="s">
        <v>21</v>
      </c>
      <c r="L2" s="15" t="s">
        <v>22</v>
      </c>
      <c r="M2" s="16" t="s">
        <v>23</v>
      </c>
    </row>
    <row r="3" spans="1:14" s="17" customFormat="1" ht="40.9">
      <c r="A3" s="75">
        <f t="shared" ref="A3:A5" si="0">ROW()-2</f>
        <v>1</v>
      </c>
      <c r="B3" s="79" t="s">
        <v>24</v>
      </c>
      <c r="C3" s="8" t="s">
        <v>25</v>
      </c>
      <c r="D3" s="8" t="s">
        <v>26</v>
      </c>
      <c r="E3" s="8" t="s">
        <v>27</v>
      </c>
      <c r="F3" s="8" t="s">
        <v>28</v>
      </c>
      <c r="G3" s="19" t="s">
        <v>19</v>
      </c>
      <c r="H3" s="20" t="s">
        <v>20</v>
      </c>
      <c r="I3" s="13">
        <v>45785</v>
      </c>
      <c r="J3" s="21">
        <v>45800</v>
      </c>
      <c r="K3" s="22" t="s">
        <v>21</v>
      </c>
      <c r="L3" s="15" t="s">
        <v>22</v>
      </c>
      <c r="M3" s="23"/>
    </row>
    <row r="4" spans="1:14" s="17" customFormat="1" ht="49.15" customHeight="1">
      <c r="A4" s="75">
        <f t="shared" si="0"/>
        <v>2</v>
      </c>
      <c r="B4" s="79" t="s">
        <v>29</v>
      </c>
      <c r="C4" s="8" t="s">
        <v>30</v>
      </c>
      <c r="D4" s="8" t="s">
        <v>31</v>
      </c>
      <c r="E4" s="8" t="s">
        <v>32</v>
      </c>
      <c r="F4" s="8" t="s">
        <v>33</v>
      </c>
      <c r="G4" s="24"/>
      <c r="H4" s="19" t="s">
        <v>34</v>
      </c>
      <c r="I4" s="25">
        <v>45831</v>
      </c>
      <c r="J4" s="26">
        <v>45841</v>
      </c>
      <c r="K4" s="22" t="s">
        <v>35</v>
      </c>
      <c r="L4" s="27" t="s">
        <v>22</v>
      </c>
      <c r="M4" s="23" t="s">
        <v>36</v>
      </c>
    </row>
    <row r="5" spans="1:14" s="17" customFormat="1" ht="80.25" customHeight="1">
      <c r="A5" s="75">
        <f t="shared" si="0"/>
        <v>3</v>
      </c>
      <c r="B5" s="79" t="s">
        <v>37</v>
      </c>
      <c r="C5" s="8" t="s">
        <v>38</v>
      </c>
      <c r="D5" s="28" t="s">
        <v>39</v>
      </c>
      <c r="E5" s="8" t="s">
        <v>40</v>
      </c>
      <c r="F5" s="8" t="s">
        <v>41</v>
      </c>
      <c r="G5" s="24" t="s">
        <v>42</v>
      </c>
      <c r="H5" s="29" t="s">
        <v>20</v>
      </c>
      <c r="I5" s="13">
        <v>45868</v>
      </c>
      <c r="J5" s="21">
        <v>45924</v>
      </c>
      <c r="K5" s="22" t="s">
        <v>21</v>
      </c>
      <c r="L5" s="15" t="s">
        <v>22</v>
      </c>
      <c r="M5" s="30" t="s">
        <v>43</v>
      </c>
    </row>
    <row r="6" spans="1:14" s="17" customFormat="1" ht="40.9" hidden="1" customHeight="1">
      <c r="A6" s="6">
        <v>5</v>
      </c>
      <c r="B6" s="7" t="s">
        <v>44</v>
      </c>
      <c r="C6" s="8" t="s">
        <v>45</v>
      </c>
      <c r="D6" s="9" t="s">
        <v>46</v>
      </c>
      <c r="E6" s="8" t="s">
        <v>47</v>
      </c>
      <c r="F6" s="8" t="s">
        <v>48</v>
      </c>
      <c r="G6" s="24"/>
      <c r="H6" s="29" t="s">
        <v>49</v>
      </c>
      <c r="I6" s="31">
        <v>45874</v>
      </c>
      <c r="J6" s="13">
        <v>45874</v>
      </c>
      <c r="K6" s="22" t="s">
        <v>21</v>
      </c>
      <c r="L6" s="15" t="s">
        <v>22</v>
      </c>
      <c r="M6" s="23" t="s">
        <v>50</v>
      </c>
    </row>
    <row r="7" spans="1:14" s="17" customFormat="1" ht="41.25" hidden="1" customHeight="1">
      <c r="A7" s="18">
        <v>6</v>
      </c>
      <c r="B7" s="8" t="s">
        <v>51</v>
      </c>
      <c r="C7" s="8" t="s">
        <v>45</v>
      </c>
      <c r="D7" s="8" t="s">
        <v>52</v>
      </c>
      <c r="E7" s="8" t="s">
        <v>53</v>
      </c>
      <c r="F7" s="8" t="s">
        <v>54</v>
      </c>
      <c r="G7" s="24"/>
      <c r="H7" s="29" t="s">
        <v>55</v>
      </c>
      <c r="I7" s="32">
        <v>45875</v>
      </c>
      <c r="J7" s="33">
        <v>45875</v>
      </c>
      <c r="K7" s="22" t="s">
        <v>21</v>
      </c>
      <c r="L7" s="15" t="s">
        <v>22</v>
      </c>
      <c r="M7" s="34" t="s">
        <v>56</v>
      </c>
    </row>
    <row r="8" spans="1:14" s="17" customFormat="1" ht="32.25" hidden="1" customHeight="1">
      <c r="A8" s="6">
        <v>7</v>
      </c>
      <c r="B8" s="8" t="s">
        <v>57</v>
      </c>
      <c r="C8" s="8" t="s">
        <v>25</v>
      </c>
      <c r="D8" s="8" t="s">
        <v>58</v>
      </c>
      <c r="E8" s="8" t="s">
        <v>59</v>
      </c>
      <c r="F8" s="8" t="s">
        <v>60</v>
      </c>
      <c r="G8" s="10" t="s">
        <v>19</v>
      </c>
      <c r="H8" s="29" t="s">
        <v>34</v>
      </c>
      <c r="I8" s="32">
        <v>45876</v>
      </c>
      <c r="J8" s="13">
        <v>45876</v>
      </c>
      <c r="K8" s="22" t="s">
        <v>21</v>
      </c>
      <c r="L8" s="15" t="s">
        <v>22</v>
      </c>
      <c r="M8" s="34" t="s">
        <v>61</v>
      </c>
    </row>
    <row r="9" spans="1:14" s="17" customFormat="1" ht="51" hidden="1" customHeight="1">
      <c r="A9" s="18">
        <v>8</v>
      </c>
      <c r="B9" s="8" t="s">
        <v>62</v>
      </c>
      <c r="C9" s="8" t="s">
        <v>63</v>
      </c>
      <c r="D9" s="35" t="s">
        <v>64</v>
      </c>
      <c r="E9" s="35" t="s">
        <v>65</v>
      </c>
      <c r="F9" s="35" t="s">
        <v>66</v>
      </c>
      <c r="G9" s="10" t="s">
        <v>19</v>
      </c>
      <c r="H9" s="29" t="s">
        <v>67</v>
      </c>
      <c r="I9" s="32">
        <v>45876</v>
      </c>
      <c r="J9" s="13">
        <v>45876</v>
      </c>
      <c r="K9" s="22" t="s">
        <v>21</v>
      </c>
      <c r="L9" s="15" t="s">
        <v>22</v>
      </c>
      <c r="M9" s="23"/>
    </row>
    <row r="10" spans="1:14" s="17" customFormat="1" ht="51" hidden="1" customHeight="1">
      <c r="A10" s="6">
        <v>9</v>
      </c>
      <c r="B10" s="8" t="s">
        <v>68</v>
      </c>
      <c r="C10" s="8" t="s">
        <v>69</v>
      </c>
      <c r="D10" s="35" t="s">
        <v>70</v>
      </c>
      <c r="E10" s="35" t="s">
        <v>71</v>
      </c>
      <c r="F10" s="35" t="s">
        <v>72</v>
      </c>
      <c r="G10" s="10" t="s">
        <v>19</v>
      </c>
      <c r="H10" s="29" t="s">
        <v>34</v>
      </c>
      <c r="I10" s="36">
        <v>45875</v>
      </c>
      <c r="J10" s="13">
        <v>45875</v>
      </c>
      <c r="K10" s="22" t="s">
        <v>21</v>
      </c>
      <c r="L10" s="15" t="s">
        <v>22</v>
      </c>
      <c r="M10" s="23"/>
    </row>
    <row r="11" spans="1:14" s="17" customFormat="1" ht="72">
      <c r="A11" s="75">
        <f t="shared" ref="A11:A56" si="1">ROW()-2</f>
        <v>9</v>
      </c>
      <c r="B11" s="79" t="s">
        <v>73</v>
      </c>
      <c r="C11" s="8" t="s">
        <v>38</v>
      </c>
      <c r="D11" s="35" t="s">
        <v>74</v>
      </c>
      <c r="E11" s="35" t="s">
        <v>75</v>
      </c>
      <c r="F11" s="35" t="s">
        <v>76</v>
      </c>
      <c r="G11" s="10" t="s">
        <v>19</v>
      </c>
      <c r="H11" s="29" t="s">
        <v>77</v>
      </c>
      <c r="I11" s="13">
        <v>45880</v>
      </c>
      <c r="J11" s="13">
        <v>45882</v>
      </c>
      <c r="K11" s="29" t="s">
        <v>21</v>
      </c>
      <c r="L11" s="15" t="s">
        <v>22</v>
      </c>
      <c r="M11" s="34" t="s">
        <v>78</v>
      </c>
    </row>
    <row r="12" spans="1:14" s="17" customFormat="1" ht="61.15">
      <c r="A12" s="75">
        <f t="shared" si="1"/>
        <v>10</v>
      </c>
      <c r="B12" s="79" t="s">
        <v>79</v>
      </c>
      <c r="C12" s="8" t="s">
        <v>80</v>
      </c>
      <c r="D12" s="35" t="s">
        <v>81</v>
      </c>
      <c r="E12" s="35" t="s">
        <v>82</v>
      </c>
      <c r="F12" s="35" t="s">
        <v>83</v>
      </c>
      <c r="G12" s="10" t="s">
        <v>19</v>
      </c>
      <c r="H12" s="29" t="s">
        <v>84</v>
      </c>
      <c r="I12" s="37">
        <v>45880</v>
      </c>
      <c r="J12" s="13">
        <v>45882</v>
      </c>
      <c r="K12" s="29" t="s">
        <v>21</v>
      </c>
      <c r="L12" s="15" t="s">
        <v>22</v>
      </c>
      <c r="M12" s="23"/>
    </row>
    <row r="13" spans="1:14" s="17" customFormat="1" ht="40.9">
      <c r="A13" s="75">
        <f t="shared" si="1"/>
        <v>11</v>
      </c>
      <c r="B13" s="79" t="s">
        <v>85</v>
      </c>
      <c r="C13" s="8" t="s">
        <v>38</v>
      </c>
      <c r="D13" s="35" t="s">
        <v>86</v>
      </c>
      <c r="E13" s="35" t="s">
        <v>87</v>
      </c>
      <c r="F13" s="35" t="s">
        <v>88</v>
      </c>
      <c r="G13" s="15" t="s">
        <v>89</v>
      </c>
      <c r="H13" s="29" t="s">
        <v>90</v>
      </c>
      <c r="I13" s="38">
        <v>45882</v>
      </c>
      <c r="J13" s="13">
        <v>45882</v>
      </c>
      <c r="K13" s="29" t="s">
        <v>21</v>
      </c>
      <c r="L13" s="15" t="s">
        <v>22</v>
      </c>
      <c r="M13" s="23" t="s">
        <v>91</v>
      </c>
    </row>
    <row r="14" spans="1:14" ht="51">
      <c r="A14" s="75">
        <f t="shared" si="1"/>
        <v>12</v>
      </c>
      <c r="B14" s="79" t="s">
        <v>92</v>
      </c>
      <c r="C14" s="8" t="s">
        <v>93</v>
      </c>
      <c r="D14" s="35" t="s">
        <v>94</v>
      </c>
      <c r="E14" s="35" t="s">
        <v>95</v>
      </c>
      <c r="F14" s="35" t="s">
        <v>96</v>
      </c>
      <c r="G14" s="15" t="s">
        <v>19</v>
      </c>
      <c r="H14" s="29" t="s">
        <v>97</v>
      </c>
      <c r="I14" s="13">
        <v>45882</v>
      </c>
      <c r="J14" s="13">
        <v>45882</v>
      </c>
      <c r="K14" s="29" t="s">
        <v>21</v>
      </c>
      <c r="L14" s="15" t="s">
        <v>22</v>
      </c>
      <c r="M14" s="39"/>
    </row>
    <row r="15" spans="1:14" ht="122.45">
      <c r="A15" s="75">
        <f t="shared" si="1"/>
        <v>13</v>
      </c>
      <c r="B15" s="79" t="s">
        <v>98</v>
      </c>
      <c r="C15" s="8" t="s">
        <v>99</v>
      </c>
      <c r="D15" s="35" t="s">
        <v>100</v>
      </c>
      <c r="E15" s="35" t="s">
        <v>101</v>
      </c>
      <c r="F15" s="35" t="s">
        <v>102</v>
      </c>
      <c r="G15" s="15" t="s">
        <v>19</v>
      </c>
      <c r="H15" s="15" t="s">
        <v>20</v>
      </c>
      <c r="I15" s="13">
        <v>45897</v>
      </c>
      <c r="J15" s="13">
        <v>45924</v>
      </c>
      <c r="K15" s="29" t="s">
        <v>21</v>
      </c>
      <c r="L15" s="15" t="s">
        <v>22</v>
      </c>
      <c r="M15" s="39"/>
    </row>
    <row r="16" spans="1:14" ht="14.45">
      <c r="A16" s="75">
        <f t="shared" si="1"/>
        <v>14</v>
      </c>
      <c r="B16" s="79" t="s">
        <v>103</v>
      </c>
      <c r="C16" s="8" t="s">
        <v>30</v>
      </c>
      <c r="D16" s="35" t="s">
        <v>104</v>
      </c>
      <c r="E16" s="35" t="s">
        <v>105</v>
      </c>
      <c r="F16" s="35" t="s">
        <v>106</v>
      </c>
      <c r="G16" s="15" t="s">
        <v>19</v>
      </c>
      <c r="H16" s="15" t="s">
        <v>107</v>
      </c>
      <c r="I16" s="13">
        <v>45897</v>
      </c>
      <c r="J16" s="13">
        <v>45923</v>
      </c>
      <c r="K16" s="29" t="s">
        <v>108</v>
      </c>
      <c r="L16" s="15" t="s">
        <v>22</v>
      </c>
      <c r="M16" s="16" t="s">
        <v>109</v>
      </c>
    </row>
    <row r="17" spans="1:19" ht="40.9">
      <c r="A17" s="75">
        <f t="shared" si="1"/>
        <v>15</v>
      </c>
      <c r="B17" s="79" t="s">
        <v>110</v>
      </c>
      <c r="C17" s="8" t="s">
        <v>99</v>
      </c>
      <c r="D17" s="35" t="s">
        <v>111</v>
      </c>
      <c r="E17" s="35" t="s">
        <v>101</v>
      </c>
      <c r="F17" s="35" t="s">
        <v>112</v>
      </c>
      <c r="G17" s="15" t="s">
        <v>19</v>
      </c>
      <c r="H17" s="15" t="s">
        <v>113</v>
      </c>
      <c r="I17" s="13">
        <v>45897</v>
      </c>
      <c r="J17" s="13">
        <v>45924</v>
      </c>
      <c r="K17" s="29" t="s">
        <v>21</v>
      </c>
      <c r="L17" s="15" t="s">
        <v>22</v>
      </c>
      <c r="M17" s="39"/>
    </row>
    <row r="18" spans="1:19" ht="72">
      <c r="A18" s="75">
        <f t="shared" si="1"/>
        <v>16</v>
      </c>
      <c r="B18" s="79" t="s">
        <v>114</v>
      </c>
      <c r="C18" s="8" t="s">
        <v>99</v>
      </c>
      <c r="D18" s="35" t="s">
        <v>115</v>
      </c>
      <c r="E18" s="35" t="s">
        <v>101</v>
      </c>
      <c r="F18" s="41" t="s">
        <v>116</v>
      </c>
      <c r="G18" s="15" t="s">
        <v>19</v>
      </c>
      <c r="H18" s="15" t="s">
        <v>117</v>
      </c>
      <c r="I18" s="13">
        <v>45897</v>
      </c>
      <c r="J18" s="13">
        <v>45923</v>
      </c>
      <c r="K18" s="29" t="s">
        <v>108</v>
      </c>
      <c r="L18" s="15" t="s">
        <v>22</v>
      </c>
      <c r="M18" s="16" t="s">
        <v>118</v>
      </c>
    </row>
    <row r="19" spans="1:19" ht="102">
      <c r="A19" s="75">
        <f t="shared" si="1"/>
        <v>17</v>
      </c>
      <c r="B19" s="79" t="s">
        <v>119</v>
      </c>
      <c r="C19" s="8" t="s">
        <v>120</v>
      </c>
      <c r="D19" s="35" t="s">
        <v>121</v>
      </c>
      <c r="E19" s="42" t="s">
        <v>105</v>
      </c>
      <c r="F19" s="35" t="s">
        <v>122</v>
      </c>
      <c r="G19" s="15" t="s">
        <v>19</v>
      </c>
      <c r="H19" s="15" t="s">
        <v>123</v>
      </c>
      <c r="I19" s="38">
        <v>45789</v>
      </c>
      <c r="J19" s="13">
        <v>45859</v>
      </c>
      <c r="K19" s="29" t="s">
        <v>35</v>
      </c>
      <c r="L19" s="15" t="s">
        <v>22</v>
      </c>
      <c r="M19" s="39"/>
    </row>
    <row r="20" spans="1:19" ht="61.15">
      <c r="A20" s="75">
        <f t="shared" si="1"/>
        <v>18</v>
      </c>
      <c r="B20" s="79" t="s">
        <v>124</v>
      </c>
      <c r="C20" s="8" t="s">
        <v>93</v>
      </c>
      <c r="D20" s="35" t="s">
        <v>125</v>
      </c>
      <c r="E20" s="35" t="s">
        <v>126</v>
      </c>
      <c r="F20" s="35" t="s">
        <v>127</v>
      </c>
      <c r="G20" s="15" t="s">
        <v>19</v>
      </c>
      <c r="H20" s="15" t="s">
        <v>128</v>
      </c>
      <c r="I20" s="13">
        <v>45897</v>
      </c>
      <c r="J20" s="43">
        <v>46007</v>
      </c>
      <c r="K20" s="29" t="s">
        <v>108</v>
      </c>
      <c r="L20" s="15" t="s">
        <v>22</v>
      </c>
      <c r="M20" s="39" t="s">
        <v>129</v>
      </c>
    </row>
    <row r="21" spans="1:19" ht="158.44999999999999">
      <c r="A21" s="75">
        <f t="shared" si="1"/>
        <v>19</v>
      </c>
      <c r="B21" s="79" t="s">
        <v>130</v>
      </c>
      <c r="C21" s="8" t="s">
        <v>131</v>
      </c>
      <c r="D21" s="35" t="s">
        <v>132</v>
      </c>
      <c r="E21" s="10" t="s">
        <v>105</v>
      </c>
      <c r="F21" s="41" t="s">
        <v>133</v>
      </c>
      <c r="G21" s="15" t="s">
        <v>19</v>
      </c>
      <c r="H21" s="15" t="s">
        <v>134</v>
      </c>
      <c r="I21" s="38">
        <v>45912</v>
      </c>
      <c r="J21" s="38">
        <v>45979</v>
      </c>
      <c r="K21" s="29" t="s">
        <v>21</v>
      </c>
      <c r="L21" s="15" t="s">
        <v>22</v>
      </c>
      <c r="M21" s="16" t="s">
        <v>135</v>
      </c>
      <c r="Q21" s="40" t="s">
        <v>136</v>
      </c>
      <c r="R21" s="40" t="s">
        <v>137</v>
      </c>
      <c r="S21" s="40" t="s">
        <v>138</v>
      </c>
    </row>
    <row r="22" spans="1:19" ht="61.15">
      <c r="A22" s="75">
        <f t="shared" si="1"/>
        <v>20</v>
      </c>
      <c r="B22" s="79" t="s">
        <v>139</v>
      </c>
      <c r="C22" s="8" t="s">
        <v>140</v>
      </c>
      <c r="D22" s="35" t="s">
        <v>141</v>
      </c>
      <c r="E22" s="10" t="s">
        <v>105</v>
      </c>
      <c r="F22" s="35" t="s">
        <v>142</v>
      </c>
      <c r="G22" s="15" t="s">
        <v>19</v>
      </c>
      <c r="H22" s="15" t="s">
        <v>143</v>
      </c>
      <c r="I22" s="38">
        <v>45912</v>
      </c>
      <c r="J22" s="38">
        <v>45966</v>
      </c>
      <c r="K22" s="29" t="s">
        <v>21</v>
      </c>
      <c r="L22" s="15" t="s">
        <v>22</v>
      </c>
      <c r="M22" s="39" t="s">
        <v>144</v>
      </c>
      <c r="P22" s="44" t="s">
        <v>145</v>
      </c>
      <c r="Q22" s="44">
        <f>COUNTIF($K$2:$K$19,"LL")</f>
        <v>2</v>
      </c>
      <c r="R22" s="45">
        <f>COUNTIF($K$20:$K$41,"LL")</f>
        <v>0</v>
      </c>
      <c r="S22" s="45">
        <f>COUNTIF($K$42:$K$52,"LL")</f>
        <v>0</v>
      </c>
    </row>
    <row r="23" spans="1:19" ht="20.45">
      <c r="A23" s="75">
        <f t="shared" si="1"/>
        <v>21</v>
      </c>
      <c r="B23" s="79" t="s">
        <v>146</v>
      </c>
      <c r="C23" s="8" t="s">
        <v>93</v>
      </c>
      <c r="D23" s="35" t="s">
        <v>147</v>
      </c>
      <c r="E23" s="10" t="s">
        <v>105</v>
      </c>
      <c r="F23" s="35"/>
      <c r="G23" s="15" t="s">
        <v>19</v>
      </c>
      <c r="H23" s="15" t="s">
        <v>148</v>
      </c>
      <c r="I23" s="38">
        <v>45937</v>
      </c>
      <c r="J23" s="38">
        <v>45949</v>
      </c>
      <c r="K23" s="29" t="s">
        <v>21</v>
      </c>
      <c r="L23" s="15" t="s">
        <v>22</v>
      </c>
      <c r="M23" s="16" t="s">
        <v>149</v>
      </c>
      <c r="P23" s="44" t="s">
        <v>21</v>
      </c>
      <c r="Q23" s="44">
        <f>COUNTIF($K$2:$K$19,"Q&amp;A")</f>
        <v>14</v>
      </c>
      <c r="R23" s="45">
        <f>COUNTIF($K$20:$K$42,"Q&amp;A")</f>
        <v>18</v>
      </c>
      <c r="S23" s="45">
        <f>COUNTIF($K$42:$K$59,"Q&amp;A")</f>
        <v>3</v>
      </c>
    </row>
    <row r="24" spans="1:19" ht="20.45">
      <c r="A24" s="75">
        <f t="shared" si="1"/>
        <v>22</v>
      </c>
      <c r="B24" s="79" t="s">
        <v>150</v>
      </c>
      <c r="C24" s="8" t="s">
        <v>93</v>
      </c>
      <c r="D24" s="35" t="s">
        <v>151</v>
      </c>
      <c r="E24" s="10" t="s">
        <v>105</v>
      </c>
      <c r="F24" s="35" t="s">
        <v>152</v>
      </c>
      <c r="G24" s="15" t="s">
        <v>19</v>
      </c>
      <c r="H24" s="15" t="s">
        <v>143</v>
      </c>
      <c r="I24" s="38">
        <v>45938</v>
      </c>
      <c r="J24" s="38">
        <v>45949</v>
      </c>
      <c r="K24" s="29" t="s">
        <v>21</v>
      </c>
      <c r="L24" s="15" t="s">
        <v>22</v>
      </c>
      <c r="M24" s="16" t="s">
        <v>149</v>
      </c>
      <c r="P24" s="44" t="s">
        <v>153</v>
      </c>
      <c r="Q24" s="44">
        <f>COUNTIF($K$2:$K$19,"knowlege sharing")</f>
        <v>2</v>
      </c>
      <c r="R24" s="45">
        <f>COUNTIF($K$20:$K$42,"knowlege sharing")</f>
        <v>4</v>
      </c>
      <c r="S24" s="45">
        <f>COUNTIF($K$42:$K$52,"KSS/Training")</f>
        <v>8</v>
      </c>
    </row>
    <row r="25" spans="1:19" ht="20.45">
      <c r="A25" s="75">
        <f t="shared" si="1"/>
        <v>23</v>
      </c>
      <c r="B25" s="79" t="s">
        <v>154</v>
      </c>
      <c r="C25" s="8" t="s">
        <v>93</v>
      </c>
      <c r="D25" s="35" t="s">
        <v>155</v>
      </c>
      <c r="E25" s="10" t="s">
        <v>105</v>
      </c>
      <c r="F25" s="35" t="s">
        <v>152</v>
      </c>
      <c r="G25" s="15" t="s">
        <v>19</v>
      </c>
      <c r="H25" s="15" t="s">
        <v>143</v>
      </c>
      <c r="I25" s="38">
        <v>45938</v>
      </c>
      <c r="J25" s="38">
        <v>45949</v>
      </c>
      <c r="K25" s="29" t="s">
        <v>21</v>
      </c>
      <c r="L25" s="15" t="s">
        <v>22</v>
      </c>
      <c r="M25" s="16" t="s">
        <v>149</v>
      </c>
    </row>
    <row r="26" spans="1:19" ht="20.45">
      <c r="A26" s="75">
        <f t="shared" si="1"/>
        <v>24</v>
      </c>
      <c r="B26" s="80" t="s">
        <v>156</v>
      </c>
      <c r="C26" s="46" t="s">
        <v>93</v>
      </c>
      <c r="D26" s="35" t="s">
        <v>151</v>
      </c>
      <c r="E26" s="10" t="s">
        <v>105</v>
      </c>
      <c r="F26" s="42" t="s">
        <v>152</v>
      </c>
      <c r="G26" s="47" t="s">
        <v>19</v>
      </c>
      <c r="H26" s="47" t="s">
        <v>143</v>
      </c>
      <c r="I26" s="38">
        <v>45938</v>
      </c>
      <c r="J26" s="38">
        <v>45949</v>
      </c>
      <c r="K26" s="29" t="s">
        <v>21</v>
      </c>
      <c r="L26" s="15" t="s">
        <v>22</v>
      </c>
      <c r="M26" s="16" t="s">
        <v>149</v>
      </c>
    </row>
    <row r="27" spans="1:19" ht="20.45">
      <c r="A27" s="75">
        <f t="shared" si="1"/>
        <v>25</v>
      </c>
      <c r="B27" s="80" t="s">
        <v>157</v>
      </c>
      <c r="C27" s="46" t="s">
        <v>93</v>
      </c>
      <c r="D27" s="48" t="s">
        <v>151</v>
      </c>
      <c r="E27" s="10" t="s">
        <v>105</v>
      </c>
      <c r="F27" s="42" t="s">
        <v>152</v>
      </c>
      <c r="G27" s="27" t="s">
        <v>19</v>
      </c>
      <c r="H27" s="27" t="s">
        <v>143</v>
      </c>
      <c r="I27" s="49">
        <v>45938</v>
      </c>
      <c r="J27" s="38">
        <v>45949</v>
      </c>
      <c r="K27" s="50" t="s">
        <v>21</v>
      </c>
      <c r="L27" s="27" t="s">
        <v>22</v>
      </c>
      <c r="M27" s="51" t="s">
        <v>149</v>
      </c>
    </row>
    <row r="28" spans="1:19" ht="17.25" customHeight="1">
      <c r="A28" s="75">
        <f t="shared" si="1"/>
        <v>26</v>
      </c>
      <c r="B28" s="53" t="s">
        <v>158</v>
      </c>
      <c r="C28" s="45" t="s">
        <v>93</v>
      </c>
      <c r="D28" s="45" t="s">
        <v>159</v>
      </c>
      <c r="E28" s="10" t="s">
        <v>105</v>
      </c>
      <c r="F28" s="42" t="s">
        <v>152</v>
      </c>
      <c r="G28" s="52" t="s">
        <v>19</v>
      </c>
      <c r="H28" s="52" t="s">
        <v>143</v>
      </c>
      <c r="I28" s="38">
        <v>45938</v>
      </c>
      <c r="J28" s="38">
        <v>45949</v>
      </c>
      <c r="K28" s="52" t="s">
        <v>21</v>
      </c>
      <c r="L28" s="52" t="s">
        <v>22</v>
      </c>
      <c r="M28" s="51" t="s">
        <v>149</v>
      </c>
    </row>
    <row r="29" spans="1:19" ht="51">
      <c r="A29" s="75">
        <f t="shared" si="1"/>
        <v>27</v>
      </c>
      <c r="B29" s="54" t="s">
        <v>160</v>
      </c>
      <c r="C29" s="55" t="s">
        <v>93</v>
      </c>
      <c r="D29" s="52" t="s">
        <v>161</v>
      </c>
      <c r="E29" s="10" t="s">
        <v>105</v>
      </c>
      <c r="F29" s="52" t="s">
        <v>162</v>
      </c>
      <c r="G29" s="52" t="s">
        <v>19</v>
      </c>
      <c r="H29" s="52" t="s">
        <v>143</v>
      </c>
      <c r="I29" s="38">
        <v>45938</v>
      </c>
      <c r="J29" s="38">
        <v>45949</v>
      </c>
      <c r="K29" s="52" t="s">
        <v>21</v>
      </c>
      <c r="L29" s="52" t="s">
        <v>22</v>
      </c>
      <c r="M29" s="56" t="s">
        <v>163</v>
      </c>
    </row>
    <row r="30" spans="1:19" ht="43.15">
      <c r="A30" s="75">
        <f t="shared" si="1"/>
        <v>28</v>
      </c>
      <c r="B30" s="81" t="s">
        <v>164</v>
      </c>
      <c r="C30" s="57" t="s">
        <v>165</v>
      </c>
      <c r="D30" s="10" t="s">
        <v>166</v>
      </c>
      <c r="E30" s="10" t="s">
        <v>105</v>
      </c>
      <c r="F30" s="10" t="s">
        <v>167</v>
      </c>
      <c r="G30" s="10" t="s">
        <v>19</v>
      </c>
      <c r="H30" s="10" t="s">
        <v>128</v>
      </c>
      <c r="I30" s="58">
        <v>45938</v>
      </c>
      <c r="J30" s="38">
        <v>45949</v>
      </c>
      <c r="K30" s="19" t="s">
        <v>108</v>
      </c>
      <c r="L30" s="10" t="s">
        <v>22</v>
      </c>
      <c r="M30" s="59" t="s">
        <v>168</v>
      </c>
    </row>
    <row r="31" spans="1:19" ht="43.15">
      <c r="A31" s="75">
        <f t="shared" si="1"/>
        <v>29</v>
      </c>
      <c r="B31" s="79" t="s">
        <v>169</v>
      </c>
      <c r="C31" s="8" t="s">
        <v>93</v>
      </c>
      <c r="D31" s="15" t="s">
        <v>170</v>
      </c>
      <c r="E31" s="15" t="s">
        <v>105</v>
      </c>
      <c r="F31" s="15" t="s">
        <v>171</v>
      </c>
      <c r="G31" s="15" t="s">
        <v>19</v>
      </c>
      <c r="H31" s="15" t="s">
        <v>123</v>
      </c>
      <c r="I31" s="38">
        <v>45938</v>
      </c>
      <c r="J31" s="38">
        <v>45945</v>
      </c>
      <c r="K31" s="29" t="s">
        <v>108</v>
      </c>
      <c r="L31" s="15" t="s">
        <v>22</v>
      </c>
      <c r="M31" s="16" t="s">
        <v>172</v>
      </c>
    </row>
    <row r="32" spans="1:19" ht="19.5" customHeight="1">
      <c r="A32" s="75">
        <f t="shared" si="1"/>
        <v>30</v>
      </c>
      <c r="B32" s="79" t="s">
        <v>173</v>
      </c>
      <c r="C32" s="8" t="s">
        <v>174</v>
      </c>
      <c r="D32" s="15" t="s">
        <v>175</v>
      </c>
      <c r="E32" s="15" t="s">
        <v>105</v>
      </c>
      <c r="F32" s="15" t="s">
        <v>176</v>
      </c>
      <c r="G32" s="15" t="s">
        <v>19</v>
      </c>
      <c r="H32" s="15" t="s">
        <v>177</v>
      </c>
      <c r="I32" s="38">
        <v>45950</v>
      </c>
      <c r="J32" s="38">
        <v>45950</v>
      </c>
      <c r="K32" s="29" t="s">
        <v>21</v>
      </c>
      <c r="L32" s="15" t="s">
        <v>22</v>
      </c>
      <c r="M32" s="39" t="s">
        <v>178</v>
      </c>
    </row>
    <row r="33" spans="1:13" ht="21" customHeight="1">
      <c r="A33" s="75">
        <f t="shared" si="1"/>
        <v>31</v>
      </c>
      <c r="B33" s="79" t="s">
        <v>179</v>
      </c>
      <c r="C33" s="8" t="s">
        <v>25</v>
      </c>
      <c r="D33" s="15" t="s">
        <v>180</v>
      </c>
      <c r="E33" s="15" t="s">
        <v>105</v>
      </c>
      <c r="F33" s="15" t="s">
        <v>181</v>
      </c>
      <c r="G33" s="15" t="s">
        <v>19</v>
      </c>
      <c r="H33" s="15" t="s">
        <v>128</v>
      </c>
      <c r="I33" s="38">
        <v>45950</v>
      </c>
      <c r="J33" s="38">
        <v>46017</v>
      </c>
      <c r="K33" s="29" t="s">
        <v>21</v>
      </c>
      <c r="L33" s="15" t="s">
        <v>22</v>
      </c>
      <c r="M33" s="60" t="s">
        <v>182</v>
      </c>
    </row>
    <row r="34" spans="1:13" ht="15" customHeight="1">
      <c r="A34" s="75">
        <f t="shared" si="1"/>
        <v>32</v>
      </c>
      <c r="B34" s="79" t="s">
        <v>183</v>
      </c>
      <c r="C34" s="8" t="s">
        <v>93</v>
      </c>
      <c r="D34" s="15" t="s">
        <v>184</v>
      </c>
      <c r="E34" s="15" t="s">
        <v>105</v>
      </c>
      <c r="F34" s="15" t="s">
        <v>185</v>
      </c>
      <c r="G34" s="15" t="s">
        <v>19</v>
      </c>
      <c r="H34" s="15" t="s">
        <v>128</v>
      </c>
      <c r="I34" s="38">
        <v>45950</v>
      </c>
      <c r="J34" s="38">
        <v>46013</v>
      </c>
      <c r="K34" s="29" t="s">
        <v>21</v>
      </c>
      <c r="L34" s="15" t="s">
        <v>22</v>
      </c>
      <c r="M34" s="16" t="s">
        <v>186</v>
      </c>
    </row>
    <row r="35" spans="1:13" ht="20.25" customHeight="1">
      <c r="A35" s="75">
        <f t="shared" si="1"/>
        <v>33</v>
      </c>
      <c r="B35" s="79" t="s">
        <v>187</v>
      </c>
      <c r="C35" s="8" t="s">
        <v>93</v>
      </c>
      <c r="D35" s="15" t="s">
        <v>188</v>
      </c>
      <c r="E35" s="15" t="s">
        <v>105</v>
      </c>
      <c r="F35" s="15" t="s">
        <v>189</v>
      </c>
      <c r="G35" s="15" t="s">
        <v>19</v>
      </c>
      <c r="H35" s="15" t="s">
        <v>128</v>
      </c>
      <c r="I35" s="38">
        <v>45950</v>
      </c>
      <c r="J35" s="38">
        <v>46017</v>
      </c>
      <c r="K35" s="29" t="s">
        <v>21</v>
      </c>
      <c r="L35" s="15" t="s">
        <v>22</v>
      </c>
      <c r="M35" s="60" t="s">
        <v>190</v>
      </c>
    </row>
    <row r="36" spans="1:13" ht="21" customHeight="1">
      <c r="A36" s="75">
        <f t="shared" si="1"/>
        <v>34</v>
      </c>
      <c r="B36" s="79" t="s">
        <v>191</v>
      </c>
      <c r="C36" s="8" t="s">
        <v>38</v>
      </c>
      <c r="D36" s="15" t="s">
        <v>192</v>
      </c>
      <c r="E36" s="15" t="s">
        <v>193</v>
      </c>
      <c r="F36" s="15" t="s">
        <v>194</v>
      </c>
      <c r="G36" s="15" t="s">
        <v>19</v>
      </c>
      <c r="H36" s="15" t="s">
        <v>90</v>
      </c>
      <c r="I36" s="61">
        <v>45986</v>
      </c>
      <c r="J36" s="38">
        <v>46013</v>
      </c>
      <c r="K36" s="29" t="s">
        <v>108</v>
      </c>
      <c r="L36" s="15" t="s">
        <v>22</v>
      </c>
      <c r="M36" s="39"/>
    </row>
    <row r="37" spans="1:13" ht="51">
      <c r="A37" s="75">
        <f t="shared" si="1"/>
        <v>35</v>
      </c>
      <c r="B37" s="80" t="s">
        <v>195</v>
      </c>
      <c r="C37" s="8" t="s">
        <v>38</v>
      </c>
      <c r="D37" s="27" t="s">
        <v>196</v>
      </c>
      <c r="E37" s="27" t="s">
        <v>197</v>
      </c>
      <c r="F37"/>
      <c r="G37" s="62"/>
      <c r="H37" s="27" t="s">
        <v>77</v>
      </c>
      <c r="I37" s="63">
        <v>45994</v>
      </c>
      <c r="J37" s="63">
        <v>46008</v>
      </c>
      <c r="K37" s="50" t="s">
        <v>21</v>
      </c>
      <c r="L37" s="27" t="s">
        <v>22</v>
      </c>
      <c r="M37" s="64"/>
    </row>
    <row r="38" spans="1:13" ht="20.45">
      <c r="A38" s="75">
        <f t="shared" si="1"/>
        <v>36</v>
      </c>
      <c r="B38" s="53" t="s">
        <v>198</v>
      </c>
      <c r="C38" s="61" t="s">
        <v>38</v>
      </c>
      <c r="D38" s="65" t="s">
        <v>199</v>
      </c>
      <c r="E38" s="52" t="s">
        <v>197</v>
      </c>
      <c r="F38" s="52" t="s">
        <v>200</v>
      </c>
      <c r="G38" s="52" t="s">
        <v>19</v>
      </c>
      <c r="H38" s="52" t="s">
        <v>201</v>
      </c>
      <c r="I38" s="66">
        <v>45996</v>
      </c>
      <c r="J38" s="38">
        <v>45950</v>
      </c>
      <c r="K38" s="52" t="s">
        <v>21</v>
      </c>
      <c r="L38" s="15" t="s">
        <v>22</v>
      </c>
      <c r="M38" s="56"/>
    </row>
    <row r="39" spans="1:13" ht="14.45">
      <c r="A39" s="75">
        <f t="shared" si="1"/>
        <v>37</v>
      </c>
      <c r="B39" s="69" t="s">
        <v>202</v>
      </c>
      <c r="C39" s="61" t="s">
        <v>93</v>
      </c>
      <c r="D39" s="65" t="s">
        <v>203</v>
      </c>
      <c r="E39" s="15" t="s">
        <v>105</v>
      </c>
      <c r="F39" s="52" t="s">
        <v>204</v>
      </c>
      <c r="G39" s="52" t="s">
        <v>19</v>
      </c>
      <c r="H39" s="52" t="s">
        <v>201</v>
      </c>
      <c r="I39" s="66">
        <v>46008</v>
      </c>
      <c r="J39" s="38">
        <v>46013</v>
      </c>
      <c r="K39" s="52" t="s">
        <v>21</v>
      </c>
      <c r="L39" s="15" t="s">
        <v>22</v>
      </c>
      <c r="M39" s="60" t="s">
        <v>205</v>
      </c>
    </row>
    <row r="40" spans="1:13" ht="14.45">
      <c r="A40" s="75">
        <f t="shared" si="1"/>
        <v>38</v>
      </c>
      <c r="B40" s="69" t="s">
        <v>206</v>
      </c>
      <c r="C40" s="61" t="s">
        <v>207</v>
      </c>
      <c r="D40" s="65" t="s">
        <v>208</v>
      </c>
      <c r="E40" s="15" t="s">
        <v>105</v>
      </c>
      <c r="F40" s="52" t="s">
        <v>209</v>
      </c>
      <c r="G40" s="52" t="s">
        <v>19</v>
      </c>
      <c r="H40" s="52" t="s">
        <v>201</v>
      </c>
      <c r="I40" s="66">
        <v>46008</v>
      </c>
      <c r="J40" s="38">
        <v>46013</v>
      </c>
      <c r="K40" s="52" t="s">
        <v>21</v>
      </c>
      <c r="L40" s="15" t="s">
        <v>22</v>
      </c>
      <c r="M40" s="68" t="s">
        <v>210</v>
      </c>
    </row>
    <row r="41" spans="1:13" ht="10.15">
      <c r="A41" s="75">
        <f t="shared" si="1"/>
        <v>39</v>
      </c>
      <c r="B41" s="69" t="s">
        <v>211</v>
      </c>
      <c r="C41" s="61" t="s">
        <v>93</v>
      </c>
      <c r="D41" s="65" t="s">
        <v>208</v>
      </c>
      <c r="E41" s="15" t="s">
        <v>105</v>
      </c>
      <c r="F41" s="52" t="s">
        <v>212</v>
      </c>
      <c r="G41" s="52" t="s">
        <v>19</v>
      </c>
      <c r="H41" s="52" t="s">
        <v>201</v>
      </c>
      <c r="I41" s="66">
        <v>46008</v>
      </c>
      <c r="J41" s="38">
        <v>46013</v>
      </c>
      <c r="K41" s="52" t="s">
        <v>21</v>
      </c>
      <c r="L41" s="15" t="s">
        <v>22</v>
      </c>
      <c r="M41" s="56" t="s">
        <v>212</v>
      </c>
    </row>
    <row r="42" spans="1:13" ht="14.45">
      <c r="A42" s="75">
        <f t="shared" si="1"/>
        <v>40</v>
      </c>
      <c r="B42" s="79" t="s">
        <v>213</v>
      </c>
      <c r="C42" s="8" t="s">
        <v>93</v>
      </c>
      <c r="D42" s="65" t="s">
        <v>214</v>
      </c>
      <c r="E42" s="65" t="s">
        <v>215</v>
      </c>
      <c r="F42" s="65" t="s">
        <v>216</v>
      </c>
      <c r="G42" s="65" t="s">
        <v>19</v>
      </c>
      <c r="H42" s="65" t="s">
        <v>128</v>
      </c>
      <c r="I42" s="66">
        <v>45868</v>
      </c>
      <c r="J42" s="66">
        <v>46022</v>
      </c>
      <c r="K42" s="52" t="s">
        <v>217</v>
      </c>
      <c r="L42" s="27" t="s">
        <v>22</v>
      </c>
      <c r="M42" s="68" t="s">
        <v>218</v>
      </c>
    </row>
    <row r="43" spans="1:13" ht="14.45">
      <c r="A43" s="75">
        <f t="shared" si="1"/>
        <v>41</v>
      </c>
      <c r="B43" s="79" t="s">
        <v>219</v>
      </c>
      <c r="C43" s="8" t="s">
        <v>93</v>
      </c>
      <c r="D43" s="65" t="s">
        <v>214</v>
      </c>
      <c r="E43" s="65" t="s">
        <v>215</v>
      </c>
      <c r="F43" s="65" t="s">
        <v>216</v>
      </c>
      <c r="G43" s="65" t="s">
        <v>19</v>
      </c>
      <c r="H43" s="65" t="s">
        <v>128</v>
      </c>
      <c r="I43" s="66">
        <v>45868</v>
      </c>
      <c r="J43" s="66">
        <v>46022</v>
      </c>
      <c r="K43" s="52" t="s">
        <v>217</v>
      </c>
      <c r="L43" s="27" t="s">
        <v>22</v>
      </c>
      <c r="M43" s="60" t="s">
        <v>220</v>
      </c>
    </row>
    <row r="44" spans="1:13" ht="14.45">
      <c r="A44" s="75">
        <f t="shared" si="1"/>
        <v>42</v>
      </c>
      <c r="B44" s="79" t="s">
        <v>221</v>
      </c>
      <c r="C44" s="8" t="s">
        <v>93</v>
      </c>
      <c r="D44" s="65" t="s">
        <v>214</v>
      </c>
      <c r="E44" s="65" t="s">
        <v>215</v>
      </c>
      <c r="F44" s="65" t="s">
        <v>216</v>
      </c>
      <c r="G44" s="65" t="s">
        <v>19</v>
      </c>
      <c r="H44" s="65" t="s">
        <v>128</v>
      </c>
      <c r="I44" s="66">
        <v>45868</v>
      </c>
      <c r="J44" s="66">
        <v>46022</v>
      </c>
      <c r="K44" s="52" t="s">
        <v>217</v>
      </c>
      <c r="L44" s="27" t="s">
        <v>22</v>
      </c>
      <c r="M44" s="60" t="s">
        <v>222</v>
      </c>
    </row>
    <row r="45" spans="1:13" ht="20.45">
      <c r="A45" s="75">
        <f t="shared" si="1"/>
        <v>43</v>
      </c>
      <c r="B45" s="79" t="s">
        <v>223</v>
      </c>
      <c r="C45" s="8" t="s">
        <v>93</v>
      </c>
      <c r="D45" s="65" t="s">
        <v>214</v>
      </c>
      <c r="E45" s="65" t="s">
        <v>215</v>
      </c>
      <c r="F45" s="65" t="s">
        <v>216</v>
      </c>
      <c r="G45" s="65" t="s">
        <v>19</v>
      </c>
      <c r="H45" s="65" t="s">
        <v>128</v>
      </c>
      <c r="I45" s="66">
        <v>45868</v>
      </c>
      <c r="J45" s="66">
        <v>46022</v>
      </c>
      <c r="K45" s="52" t="s">
        <v>217</v>
      </c>
      <c r="L45" s="27" t="s">
        <v>22</v>
      </c>
      <c r="M45" s="60" t="s">
        <v>222</v>
      </c>
    </row>
    <row r="46" spans="1:13" ht="20.45">
      <c r="A46" s="75">
        <f t="shared" si="1"/>
        <v>44</v>
      </c>
      <c r="B46" s="79" t="s">
        <v>224</v>
      </c>
      <c r="C46" s="8" t="s">
        <v>93</v>
      </c>
      <c r="D46" s="65" t="s">
        <v>214</v>
      </c>
      <c r="E46" s="65" t="s">
        <v>215</v>
      </c>
      <c r="F46" s="65" t="s">
        <v>216</v>
      </c>
      <c r="G46" s="65" t="s">
        <v>19</v>
      </c>
      <c r="H46" s="65" t="s">
        <v>128</v>
      </c>
      <c r="I46" s="66">
        <v>45868</v>
      </c>
      <c r="J46" s="66">
        <v>46022</v>
      </c>
      <c r="K46" s="52" t="s">
        <v>217</v>
      </c>
      <c r="L46" s="27" t="s">
        <v>22</v>
      </c>
      <c r="M46" s="60" t="s">
        <v>222</v>
      </c>
    </row>
    <row r="47" spans="1:13" ht="14.45">
      <c r="A47" s="75">
        <f t="shared" si="1"/>
        <v>45</v>
      </c>
      <c r="B47" s="79" t="s">
        <v>225</v>
      </c>
      <c r="C47" s="8" t="s">
        <v>93</v>
      </c>
      <c r="D47" s="65" t="s">
        <v>214</v>
      </c>
      <c r="E47" s="65" t="s">
        <v>215</v>
      </c>
      <c r="F47" s="65" t="s">
        <v>216</v>
      </c>
      <c r="G47" s="65" t="s">
        <v>19</v>
      </c>
      <c r="H47" s="65" t="s">
        <v>128</v>
      </c>
      <c r="I47" s="66">
        <v>45868</v>
      </c>
      <c r="J47" s="66">
        <v>46022</v>
      </c>
      <c r="K47" s="52" t="s">
        <v>217</v>
      </c>
      <c r="L47" s="27" t="s">
        <v>22</v>
      </c>
      <c r="M47" s="60" t="s">
        <v>226</v>
      </c>
    </row>
    <row r="48" spans="1:13" ht="14.45">
      <c r="A48" s="75">
        <f t="shared" si="1"/>
        <v>46</v>
      </c>
      <c r="B48" s="79" t="s">
        <v>227</v>
      </c>
      <c r="C48" s="8" t="s">
        <v>93</v>
      </c>
      <c r="D48" s="65" t="s">
        <v>214</v>
      </c>
      <c r="E48" s="65" t="s">
        <v>215</v>
      </c>
      <c r="F48" s="65" t="s">
        <v>216</v>
      </c>
      <c r="G48" s="65" t="s">
        <v>19</v>
      </c>
      <c r="H48" s="65" t="s">
        <v>128</v>
      </c>
      <c r="I48" s="66">
        <v>45868</v>
      </c>
      <c r="J48" s="66">
        <v>46022</v>
      </c>
      <c r="K48" s="52" t="s">
        <v>217</v>
      </c>
      <c r="L48" s="27" t="s">
        <v>22</v>
      </c>
      <c r="M48" s="60" t="s">
        <v>228</v>
      </c>
    </row>
    <row r="49" spans="1:13" ht="55.9" customHeight="1">
      <c r="A49" s="75">
        <f t="shared" si="1"/>
        <v>47</v>
      </c>
      <c r="B49" s="53" t="s">
        <v>229</v>
      </c>
      <c r="C49" s="52" t="s">
        <v>38</v>
      </c>
      <c r="D49" s="52" t="s">
        <v>230</v>
      </c>
      <c r="E49" s="52" t="s">
        <v>197</v>
      </c>
      <c r="F49" s="52" t="s">
        <v>231</v>
      </c>
      <c r="G49" s="15" t="s">
        <v>19</v>
      </c>
      <c r="H49" s="52" t="s">
        <v>77</v>
      </c>
      <c r="I49" s="38">
        <v>46030</v>
      </c>
      <c r="J49" s="38">
        <v>46031</v>
      </c>
      <c r="K49" s="52" t="s">
        <v>21</v>
      </c>
      <c r="L49" s="27" t="s">
        <v>22</v>
      </c>
      <c r="M49" s="68" t="s">
        <v>232</v>
      </c>
    </row>
    <row r="50" spans="1:13" ht="20.45">
      <c r="A50" s="75">
        <f t="shared" si="1"/>
        <v>48</v>
      </c>
      <c r="B50" s="69" t="s">
        <v>233</v>
      </c>
      <c r="C50" s="8" t="s">
        <v>38</v>
      </c>
      <c r="D50" s="56" t="s">
        <v>234</v>
      </c>
      <c r="E50" s="65" t="s">
        <v>105</v>
      </c>
      <c r="F50" s="56" t="s">
        <v>235</v>
      </c>
      <c r="G50" s="65" t="s">
        <v>19</v>
      </c>
      <c r="H50" s="56" t="s">
        <v>20</v>
      </c>
      <c r="I50" s="38">
        <v>46064</v>
      </c>
      <c r="J50" s="38">
        <v>46064</v>
      </c>
      <c r="K50" s="52" t="s">
        <v>21</v>
      </c>
      <c r="L50" s="15" t="s">
        <v>22</v>
      </c>
      <c r="M50" s="56"/>
    </row>
    <row r="51" spans="1:13" ht="20.45">
      <c r="A51" s="75">
        <f t="shared" si="1"/>
        <v>49</v>
      </c>
      <c r="B51" s="69" t="s">
        <v>236</v>
      </c>
      <c r="C51" s="8" t="s">
        <v>38</v>
      </c>
      <c r="D51" s="56" t="s">
        <v>237</v>
      </c>
      <c r="E51" s="65" t="s">
        <v>105</v>
      </c>
      <c r="F51" s="56" t="s">
        <v>238</v>
      </c>
      <c r="G51" s="65" t="s">
        <v>19</v>
      </c>
      <c r="H51" s="56" t="s">
        <v>20</v>
      </c>
      <c r="I51" s="38">
        <v>46064</v>
      </c>
      <c r="J51" s="38">
        <v>46064</v>
      </c>
      <c r="K51" s="52" t="s">
        <v>21</v>
      </c>
      <c r="L51" s="15" t="s">
        <v>22</v>
      </c>
      <c r="M51" s="56"/>
    </row>
    <row r="52" spans="1:13" ht="14.45">
      <c r="A52" s="75">
        <f t="shared" si="1"/>
        <v>50</v>
      </c>
      <c r="B52" s="53" t="s">
        <v>239</v>
      </c>
      <c r="C52" s="46" t="s">
        <v>25</v>
      </c>
      <c r="D52" s="67" t="s">
        <v>214</v>
      </c>
      <c r="E52" s="65" t="s">
        <v>215</v>
      </c>
      <c r="F52" s="56" t="s">
        <v>214</v>
      </c>
      <c r="G52" s="52" t="s">
        <v>19</v>
      </c>
      <c r="H52" s="56" t="s">
        <v>34</v>
      </c>
      <c r="I52" s="38">
        <v>46034</v>
      </c>
      <c r="J52" s="38">
        <v>46034</v>
      </c>
      <c r="K52" s="70" t="s">
        <v>217</v>
      </c>
      <c r="L52" s="15" t="s">
        <v>22</v>
      </c>
      <c r="M52" s="60" t="s">
        <v>240</v>
      </c>
    </row>
    <row r="53" spans="1:13" ht="11.25" customHeight="1">
      <c r="A53" s="75">
        <f t="shared" si="1"/>
        <v>51</v>
      </c>
      <c r="B53" s="53" t="s">
        <v>241</v>
      </c>
      <c r="C53" s="8" t="s">
        <v>25</v>
      </c>
      <c r="D53" s="67" t="s">
        <v>214</v>
      </c>
      <c r="E53" s="65" t="s">
        <v>215</v>
      </c>
      <c r="F53" s="56" t="s">
        <v>214</v>
      </c>
      <c r="G53" s="52" t="s">
        <v>19</v>
      </c>
      <c r="H53" s="56" t="s">
        <v>34</v>
      </c>
      <c r="I53" s="38">
        <v>46034</v>
      </c>
      <c r="J53" s="38">
        <v>46034</v>
      </c>
      <c r="K53" s="70" t="s">
        <v>217</v>
      </c>
      <c r="L53" s="15" t="s">
        <v>22</v>
      </c>
      <c r="M53" s="60" t="s">
        <v>242</v>
      </c>
    </row>
    <row r="54" spans="1:13" ht="11.25" customHeight="1">
      <c r="A54" s="75">
        <f t="shared" si="1"/>
        <v>52</v>
      </c>
      <c r="B54" s="53" t="s">
        <v>243</v>
      </c>
      <c r="C54" s="8" t="s">
        <v>63</v>
      </c>
      <c r="D54" s="67" t="s">
        <v>214</v>
      </c>
      <c r="E54" s="65" t="s">
        <v>215</v>
      </c>
      <c r="F54" s="56" t="s">
        <v>214</v>
      </c>
      <c r="G54" s="52" t="s">
        <v>19</v>
      </c>
      <c r="H54" s="56" t="s">
        <v>34</v>
      </c>
      <c r="I54" s="38">
        <v>46048</v>
      </c>
      <c r="J54" s="38">
        <v>46048</v>
      </c>
      <c r="K54" s="70" t="s">
        <v>217</v>
      </c>
      <c r="L54" s="15" t="s">
        <v>22</v>
      </c>
      <c r="M54" s="60" t="s">
        <v>244</v>
      </c>
    </row>
    <row r="55" spans="1:13" ht="20.45">
      <c r="A55" s="75">
        <f t="shared" si="1"/>
        <v>53</v>
      </c>
      <c r="B55" s="53" t="s">
        <v>245</v>
      </c>
      <c r="C55" s="8" t="s">
        <v>246</v>
      </c>
      <c r="D55" s="67" t="s">
        <v>214</v>
      </c>
      <c r="E55" s="65" t="s">
        <v>215</v>
      </c>
      <c r="F55" s="56" t="s">
        <v>214</v>
      </c>
      <c r="G55" s="52" t="s">
        <v>19</v>
      </c>
      <c r="H55" s="56" t="s">
        <v>34</v>
      </c>
      <c r="I55" s="38">
        <v>46048</v>
      </c>
      <c r="J55" s="38">
        <v>46048</v>
      </c>
      <c r="K55" s="70" t="s">
        <v>217</v>
      </c>
      <c r="L55" s="15" t="s">
        <v>22</v>
      </c>
      <c r="M55" s="60" t="s">
        <v>247</v>
      </c>
    </row>
    <row r="56" spans="1:13" ht="17.45" customHeight="1">
      <c r="A56" s="75">
        <f t="shared" si="1"/>
        <v>54</v>
      </c>
      <c r="B56" s="53" t="s">
        <v>248</v>
      </c>
      <c r="C56" s="8" t="s">
        <v>246</v>
      </c>
      <c r="D56" s="67" t="s">
        <v>214</v>
      </c>
      <c r="E56" s="65" t="s">
        <v>215</v>
      </c>
      <c r="F56" s="56" t="s">
        <v>214</v>
      </c>
      <c r="G56" s="52" t="s">
        <v>19</v>
      </c>
      <c r="H56" s="56" t="s">
        <v>34</v>
      </c>
      <c r="I56" s="38">
        <v>46048</v>
      </c>
      <c r="J56" s="38">
        <v>46048</v>
      </c>
      <c r="K56" s="70" t="s">
        <v>217</v>
      </c>
      <c r="L56" s="15" t="s">
        <v>22</v>
      </c>
      <c r="M56" s="60" t="s">
        <v>249</v>
      </c>
    </row>
    <row r="57" spans="1:13" ht="11.25" customHeight="1">
      <c r="B57" s="82"/>
      <c r="C57" s="8"/>
      <c r="D57" s="39"/>
      <c r="E57" s="39"/>
      <c r="F57" s="39"/>
      <c r="G57" s="24"/>
      <c r="H57" s="39"/>
      <c r="I57" s="71"/>
      <c r="J57" s="15"/>
      <c r="K57" s="39"/>
      <c r="L57" s="39"/>
      <c r="M57" s="39"/>
    </row>
    <row r="58" spans="1:13" ht="11.25" customHeight="1">
      <c r="B58" s="82"/>
      <c r="C58" s="8"/>
      <c r="D58" s="39"/>
      <c r="E58" s="39"/>
      <c r="F58" s="39"/>
      <c r="G58" s="24"/>
      <c r="H58" s="39"/>
      <c r="I58" s="71"/>
      <c r="J58" s="15"/>
      <c r="K58" s="39"/>
      <c r="L58" s="39"/>
      <c r="M58" s="39"/>
    </row>
    <row r="59" spans="1:13" ht="11.25" customHeight="1">
      <c r="B59" s="82"/>
      <c r="C59" s="8"/>
      <c r="D59" s="39"/>
      <c r="E59" s="39"/>
      <c r="F59" s="39"/>
      <c r="G59" s="24"/>
      <c r="H59" s="39"/>
      <c r="I59" s="71"/>
      <c r="J59" s="15"/>
      <c r="K59" s="39"/>
      <c r="L59" s="39"/>
      <c r="M59" s="39"/>
    </row>
    <row r="60" spans="1:13" ht="11.25" customHeight="1">
      <c r="B60" s="82"/>
      <c r="C60" s="8"/>
      <c r="D60" s="39"/>
      <c r="E60" s="39"/>
      <c r="F60" s="39"/>
      <c r="G60" s="24"/>
      <c r="H60" s="39"/>
      <c r="I60" s="71"/>
      <c r="J60" s="15"/>
      <c r="K60" s="39"/>
      <c r="L60" s="39"/>
      <c r="M60" s="39"/>
    </row>
    <row r="61" spans="1:13" ht="11.25" customHeight="1">
      <c r="B61" s="82"/>
      <c r="C61" s="8"/>
      <c r="D61" s="39"/>
      <c r="E61" s="39"/>
      <c r="F61" s="39"/>
      <c r="G61" s="24"/>
      <c r="H61" s="39"/>
      <c r="I61" s="71"/>
      <c r="J61" s="15"/>
      <c r="K61" s="39"/>
      <c r="L61" s="39"/>
      <c r="M61" s="39"/>
    </row>
    <row r="62" spans="1:13" ht="11.25" customHeight="1">
      <c r="B62" s="82"/>
      <c r="C62" s="8"/>
      <c r="D62" s="39"/>
      <c r="E62" s="39"/>
      <c r="F62" s="39"/>
      <c r="G62" s="24"/>
      <c r="H62" s="39"/>
      <c r="I62" s="71"/>
      <c r="J62" s="15"/>
      <c r="K62" s="39"/>
      <c r="L62" s="39"/>
      <c r="M62" s="39"/>
    </row>
    <row r="63" spans="1:13" ht="11.25" customHeight="1">
      <c r="B63" s="82"/>
      <c r="C63" s="8"/>
      <c r="D63" s="39"/>
      <c r="E63" s="39"/>
      <c r="F63" s="39"/>
      <c r="G63" s="24"/>
      <c r="H63" s="39"/>
      <c r="I63" s="71"/>
      <c r="J63" s="15"/>
      <c r="K63" s="39"/>
      <c r="L63" s="39"/>
      <c r="M63" s="39"/>
    </row>
    <row r="64" spans="1:13" ht="11.25" customHeight="1">
      <c r="B64" s="82"/>
      <c r="C64" s="8"/>
      <c r="D64" s="39"/>
      <c r="E64" s="39"/>
      <c r="F64" s="39"/>
      <c r="G64" s="24"/>
      <c r="H64" s="39"/>
      <c r="I64" s="71"/>
      <c r="J64" s="15"/>
      <c r="K64" s="39"/>
      <c r="L64" s="39"/>
      <c r="M64" s="39"/>
    </row>
    <row r="65" spans="2:13" ht="11.25" customHeight="1">
      <c r="B65" s="82"/>
      <c r="C65" s="8"/>
      <c r="D65" s="39"/>
      <c r="E65" s="39"/>
      <c r="F65" s="39"/>
      <c r="G65" s="24"/>
      <c r="H65" s="39"/>
      <c r="I65" s="71"/>
      <c r="J65" s="15"/>
      <c r="K65" s="39"/>
      <c r="L65" s="39"/>
      <c r="M65" s="39"/>
    </row>
    <row r="66" spans="2:13" ht="11.25" customHeight="1">
      <c r="B66" s="82"/>
      <c r="C66" s="8"/>
      <c r="D66" s="39"/>
      <c r="E66" s="39"/>
      <c r="F66" s="39"/>
      <c r="G66" s="24"/>
      <c r="H66" s="39"/>
      <c r="I66" s="71"/>
      <c r="J66" s="15"/>
      <c r="K66" s="39"/>
      <c r="L66" s="39"/>
      <c r="M66" s="39"/>
    </row>
    <row r="67" spans="2:13" ht="11.25" customHeight="1">
      <c r="B67" s="82"/>
      <c r="C67" s="8"/>
      <c r="D67" s="39"/>
      <c r="E67" s="39"/>
      <c r="F67" s="39"/>
      <c r="G67" s="24"/>
      <c r="H67" s="39"/>
      <c r="I67" s="71"/>
      <c r="J67" s="15"/>
      <c r="K67" s="39"/>
      <c r="L67" s="39"/>
      <c r="M67" s="39"/>
    </row>
    <row r="68" spans="2:13" ht="11.25" customHeight="1">
      <c r="B68" s="82"/>
      <c r="C68" s="8"/>
      <c r="D68" s="39"/>
      <c r="E68" s="39"/>
      <c r="F68" s="39"/>
      <c r="G68" s="24"/>
      <c r="H68" s="39"/>
      <c r="I68" s="71"/>
      <c r="J68" s="15"/>
      <c r="K68" s="39"/>
      <c r="L68" s="39"/>
      <c r="M68" s="39"/>
    </row>
    <row r="69" spans="2:13" ht="11.25" customHeight="1">
      <c r="B69" s="82"/>
      <c r="C69" s="8"/>
      <c r="D69" s="39"/>
      <c r="E69" s="39"/>
      <c r="F69" s="39"/>
      <c r="G69" s="24"/>
      <c r="H69" s="39"/>
      <c r="I69" s="71"/>
      <c r="J69" s="15"/>
      <c r="K69" s="39"/>
      <c r="L69" s="39"/>
      <c r="M69" s="39"/>
    </row>
    <row r="70" spans="2:13" ht="11.25" customHeight="1">
      <c r="B70" s="82"/>
      <c r="C70" s="8"/>
      <c r="D70" s="39"/>
      <c r="E70" s="39"/>
      <c r="F70" s="39"/>
      <c r="G70" s="24"/>
      <c r="H70" s="39"/>
      <c r="I70" s="71"/>
      <c r="J70" s="15"/>
      <c r="K70" s="39"/>
      <c r="L70" s="39"/>
      <c r="M70" s="39"/>
    </row>
    <row r="71" spans="2:13" ht="11.25" customHeight="1">
      <c r="B71" s="82"/>
      <c r="C71" s="8"/>
      <c r="D71" s="39"/>
      <c r="E71" s="39"/>
      <c r="F71" s="39"/>
      <c r="G71" s="24"/>
      <c r="H71" s="39"/>
      <c r="I71" s="71"/>
      <c r="J71" s="15"/>
      <c r="K71" s="39"/>
      <c r="L71" s="39"/>
      <c r="M71" s="39"/>
    </row>
    <row r="72" spans="2:13" ht="11.25" customHeight="1">
      <c r="B72" s="82"/>
      <c r="C72" s="8"/>
      <c r="D72" s="39"/>
      <c r="E72" s="39"/>
      <c r="F72" s="39"/>
      <c r="G72" s="24"/>
      <c r="H72" s="39"/>
      <c r="I72" s="71"/>
      <c r="J72" s="15"/>
      <c r="K72" s="39"/>
      <c r="L72" s="39"/>
      <c r="M72" s="39"/>
    </row>
    <row r="73" spans="2:13" ht="11.25" customHeight="1">
      <c r="B73" s="82"/>
      <c r="C73" s="8"/>
      <c r="D73" s="39"/>
      <c r="E73" s="39"/>
      <c r="F73" s="39"/>
      <c r="G73" s="24"/>
      <c r="H73" s="39"/>
      <c r="I73" s="71"/>
      <c r="J73" s="15"/>
      <c r="K73" s="39"/>
      <c r="L73" s="39"/>
      <c r="M73" s="39"/>
    </row>
    <row r="74" spans="2:13" ht="11.25" customHeight="1">
      <c r="B74" s="82"/>
      <c r="C74" s="8"/>
      <c r="D74" s="39"/>
      <c r="E74" s="39"/>
      <c r="F74" s="39"/>
      <c r="G74" s="24"/>
      <c r="H74" s="39"/>
      <c r="I74" s="71"/>
      <c r="J74" s="15"/>
      <c r="K74" s="39"/>
      <c r="L74" s="39"/>
      <c r="M74" s="39"/>
    </row>
    <row r="75" spans="2:13" ht="11.25" customHeight="1">
      <c r="B75" s="82"/>
      <c r="C75" s="8"/>
      <c r="D75" s="39"/>
      <c r="E75" s="39"/>
      <c r="F75" s="39"/>
      <c r="G75" s="24"/>
      <c r="H75" s="39"/>
      <c r="I75" s="71"/>
      <c r="J75" s="15"/>
      <c r="K75" s="39"/>
      <c r="L75" s="39"/>
      <c r="M75" s="39"/>
    </row>
    <row r="76" spans="2:13" ht="11.25" customHeight="1">
      <c r="B76" s="82"/>
      <c r="C76" s="8"/>
      <c r="D76" s="39"/>
      <c r="E76" s="39"/>
      <c r="F76" s="39"/>
      <c r="G76" s="24"/>
      <c r="H76" s="39"/>
      <c r="I76" s="71"/>
      <c r="J76" s="15"/>
      <c r="K76" s="39"/>
      <c r="L76" s="39"/>
      <c r="M76" s="39"/>
    </row>
    <row r="77" spans="2:13" ht="11.25" customHeight="1">
      <c r="B77" s="82"/>
      <c r="C77" s="8"/>
      <c r="D77" s="39"/>
      <c r="E77" s="39"/>
      <c r="F77" s="39"/>
      <c r="G77" s="24"/>
      <c r="H77" s="39"/>
      <c r="I77" s="71"/>
      <c r="J77" s="15"/>
      <c r="K77" s="39"/>
      <c r="L77" s="39"/>
      <c r="M77" s="39"/>
    </row>
    <row r="78" spans="2:13" ht="11.25" customHeight="1">
      <c r="B78" s="82"/>
      <c r="C78" s="8"/>
      <c r="D78" s="39"/>
      <c r="E78" s="39"/>
      <c r="F78" s="39"/>
      <c r="G78" s="24"/>
      <c r="H78" s="39"/>
      <c r="I78" s="71"/>
      <c r="J78" s="15"/>
      <c r="K78" s="39"/>
      <c r="L78" s="39"/>
      <c r="M78" s="39"/>
    </row>
    <row r="79" spans="2:13" ht="11.25" customHeight="1">
      <c r="B79" s="82"/>
      <c r="C79" s="8"/>
      <c r="D79" s="39"/>
      <c r="E79" s="39"/>
      <c r="F79" s="39"/>
      <c r="G79" s="24"/>
      <c r="H79" s="39"/>
      <c r="I79" s="71"/>
      <c r="J79" s="15"/>
      <c r="K79" s="39"/>
      <c r="L79" s="39"/>
      <c r="M79" s="39"/>
    </row>
    <row r="80" spans="2:13" ht="11.25" customHeight="1">
      <c r="B80" s="82"/>
      <c r="C80" s="8"/>
      <c r="D80" s="39"/>
      <c r="E80" s="39"/>
      <c r="F80" s="39"/>
      <c r="G80" s="24"/>
      <c r="H80" s="39"/>
      <c r="I80" s="71"/>
      <c r="J80" s="15"/>
      <c r="K80" s="39"/>
      <c r="L80" s="39"/>
      <c r="M80" s="39"/>
    </row>
    <row r="81" spans="2:13" ht="11.25" customHeight="1">
      <c r="B81" s="82"/>
      <c r="C81" s="8"/>
      <c r="D81" s="39"/>
      <c r="E81" s="39"/>
      <c r="F81" s="39"/>
      <c r="G81" s="24"/>
      <c r="H81" s="39"/>
      <c r="I81" s="71"/>
      <c r="J81" s="15"/>
      <c r="K81" s="39"/>
      <c r="L81" s="39"/>
      <c r="M81" s="39"/>
    </row>
    <row r="82" spans="2:13" ht="11.25" customHeight="1">
      <c r="B82" s="82"/>
      <c r="C82" s="8"/>
      <c r="D82" s="39"/>
      <c r="E82" s="39"/>
      <c r="F82" s="39"/>
      <c r="G82" s="24"/>
      <c r="H82" s="39"/>
      <c r="I82" s="71"/>
      <c r="J82" s="15"/>
      <c r="K82" s="39"/>
      <c r="L82" s="39"/>
      <c r="M82" s="39"/>
    </row>
    <row r="83" spans="2:13" ht="11.25" customHeight="1">
      <c r="B83" s="82"/>
      <c r="C83" s="8"/>
      <c r="D83" s="39"/>
      <c r="E83" s="39"/>
      <c r="F83" s="39"/>
      <c r="G83" s="24"/>
      <c r="H83" s="39"/>
      <c r="I83" s="71"/>
      <c r="J83" s="15"/>
      <c r="K83" s="39"/>
      <c r="L83" s="39"/>
      <c r="M83" s="39"/>
    </row>
    <row r="84" spans="2:13" ht="11.25" customHeight="1">
      <c r="B84" s="82"/>
      <c r="C84" s="8"/>
      <c r="D84" s="39"/>
      <c r="E84" s="39"/>
      <c r="F84" s="39"/>
      <c r="G84" s="24"/>
      <c r="H84" s="39"/>
      <c r="I84" s="71"/>
      <c r="J84" s="15"/>
      <c r="K84" s="39"/>
      <c r="L84" s="39"/>
      <c r="M84" s="39"/>
    </row>
    <row r="85" spans="2:13" ht="11.25" customHeight="1">
      <c r="B85" s="82"/>
      <c r="C85" s="8"/>
      <c r="D85" s="39"/>
      <c r="E85" s="39"/>
      <c r="F85" s="39"/>
      <c r="G85" s="24"/>
      <c r="H85" s="39"/>
      <c r="I85" s="71"/>
      <c r="J85" s="15"/>
      <c r="K85" s="39"/>
      <c r="L85" s="39"/>
      <c r="M85" s="39"/>
    </row>
    <row r="86" spans="2:13" ht="11.25" customHeight="1">
      <c r="B86" s="82"/>
      <c r="C86" s="8"/>
      <c r="D86" s="39"/>
      <c r="E86" s="39"/>
      <c r="F86" s="39"/>
      <c r="G86" s="24"/>
      <c r="H86" s="39"/>
      <c r="I86" s="71"/>
      <c r="J86" s="15"/>
      <c r="K86" s="39"/>
      <c r="L86" s="39"/>
      <c r="M86" s="39"/>
    </row>
    <row r="87" spans="2:13" ht="11.25" customHeight="1">
      <c r="B87" s="82"/>
      <c r="C87" s="8"/>
      <c r="D87" s="39"/>
      <c r="E87" s="39"/>
      <c r="F87" s="39"/>
      <c r="G87" s="24"/>
      <c r="H87" s="39"/>
      <c r="I87" s="71"/>
      <c r="J87" s="15"/>
      <c r="K87" s="39"/>
      <c r="L87" s="39"/>
      <c r="M87" s="39"/>
    </row>
    <row r="88" spans="2:13" ht="11.25" customHeight="1">
      <c r="B88" s="82"/>
      <c r="C88" s="71"/>
      <c r="D88" s="39"/>
      <c r="E88" s="39"/>
      <c r="F88" s="39"/>
      <c r="G88" s="24"/>
      <c r="H88" s="39"/>
      <c r="I88" s="71"/>
      <c r="J88" s="15"/>
      <c r="K88" s="39"/>
      <c r="L88" s="39"/>
      <c r="M88" s="39"/>
    </row>
    <row r="89" spans="2:13" ht="11.25" customHeight="1">
      <c r="B89" s="82"/>
      <c r="C89" s="71"/>
      <c r="D89" s="39"/>
      <c r="E89" s="39"/>
      <c r="F89" s="39"/>
      <c r="G89" s="24"/>
      <c r="H89" s="39"/>
      <c r="I89" s="71"/>
      <c r="J89" s="15"/>
      <c r="K89" s="39"/>
      <c r="L89" s="39"/>
      <c r="M89" s="39"/>
    </row>
    <row r="90" spans="2:13" ht="11.25" customHeight="1">
      <c r="B90" s="82"/>
      <c r="C90" s="71"/>
      <c r="D90" s="39"/>
      <c r="E90" s="39"/>
      <c r="F90" s="39"/>
      <c r="G90" s="24"/>
      <c r="H90" s="39"/>
      <c r="I90" s="71"/>
      <c r="J90" s="15"/>
      <c r="K90" s="39"/>
      <c r="L90" s="39"/>
      <c r="M90" s="39"/>
    </row>
    <row r="91" spans="2:13" ht="11.25" customHeight="1">
      <c r="B91" s="82"/>
      <c r="C91" s="71"/>
      <c r="D91" s="39"/>
      <c r="E91" s="39"/>
      <c r="F91" s="39"/>
      <c r="G91" s="24"/>
      <c r="H91" s="39"/>
      <c r="I91" s="71"/>
      <c r="J91" s="15"/>
      <c r="K91" s="39"/>
      <c r="L91" s="39"/>
      <c r="M91" s="39"/>
    </row>
    <row r="92" spans="2:13" ht="11.25" customHeight="1">
      <c r="B92" s="82"/>
      <c r="C92" s="71"/>
      <c r="D92" s="39"/>
      <c r="E92" s="39"/>
      <c r="F92" s="39"/>
      <c r="G92" s="24"/>
      <c r="H92" s="39"/>
      <c r="I92" s="71"/>
      <c r="J92" s="15"/>
      <c r="K92" s="39"/>
      <c r="L92" s="39"/>
      <c r="M92" s="39"/>
    </row>
    <row r="93" spans="2:13" ht="11.25" customHeight="1">
      <c r="B93" s="82"/>
      <c r="C93" s="71"/>
      <c r="D93" s="39"/>
      <c r="E93" s="39"/>
      <c r="F93" s="39"/>
      <c r="G93" s="24"/>
      <c r="H93" s="39"/>
      <c r="I93" s="71"/>
      <c r="J93" s="15"/>
      <c r="K93" s="39"/>
      <c r="L93" s="39"/>
      <c r="M93" s="39"/>
    </row>
    <row r="94" spans="2:13" ht="11.25" customHeight="1">
      <c r="B94" s="82"/>
      <c r="C94" s="71"/>
      <c r="D94" s="39"/>
      <c r="E94" s="39"/>
      <c r="F94" s="39"/>
      <c r="G94" s="24"/>
      <c r="H94" s="39"/>
      <c r="I94" s="71"/>
      <c r="J94" s="15"/>
      <c r="K94" s="39"/>
      <c r="L94" s="39"/>
      <c r="M94" s="39"/>
    </row>
    <row r="95" spans="2:13" ht="11.25" customHeight="1">
      <c r="B95" s="82"/>
      <c r="C95" s="71"/>
      <c r="D95" s="39"/>
      <c r="E95" s="39"/>
      <c r="F95" s="39"/>
      <c r="G95" s="24"/>
      <c r="H95" s="39"/>
      <c r="I95" s="71"/>
      <c r="J95" s="15"/>
      <c r="K95" s="39"/>
      <c r="L95" s="39"/>
      <c r="M95" s="39"/>
    </row>
    <row r="96" spans="2:13" ht="11.25" customHeight="1">
      <c r="B96" s="82"/>
      <c r="C96" s="71"/>
      <c r="D96" s="39"/>
      <c r="E96" s="39"/>
      <c r="F96" s="39"/>
      <c r="G96" s="24"/>
      <c r="H96" s="39"/>
      <c r="I96" s="71"/>
      <c r="J96" s="15"/>
      <c r="K96" s="39"/>
      <c r="L96" s="39"/>
      <c r="M96" s="39"/>
    </row>
    <row r="97" spans="2:13" ht="11.25" customHeight="1">
      <c r="B97" s="82"/>
      <c r="C97" s="71"/>
      <c r="D97" s="39"/>
      <c r="E97" s="39"/>
      <c r="F97" s="39"/>
      <c r="G97" s="24"/>
      <c r="H97" s="39"/>
      <c r="I97" s="71"/>
      <c r="J97" s="15"/>
      <c r="K97" s="39"/>
      <c r="L97" s="39"/>
      <c r="M97" s="39"/>
    </row>
    <row r="98" spans="2:13" ht="11.25" customHeight="1">
      <c r="B98" s="82"/>
      <c r="C98" s="71"/>
      <c r="D98" s="39"/>
      <c r="E98" s="39"/>
      <c r="F98" s="39"/>
      <c r="G98" s="24"/>
      <c r="H98" s="39"/>
      <c r="I98" s="71"/>
      <c r="J98" s="15"/>
      <c r="K98" s="39"/>
      <c r="L98" s="39"/>
      <c r="M98" s="39"/>
    </row>
    <row r="99" spans="2:13" ht="11.25" customHeight="1">
      <c r="B99" s="82"/>
      <c r="C99" s="71"/>
      <c r="D99" s="39"/>
      <c r="E99" s="39"/>
      <c r="F99" s="39"/>
      <c r="G99" s="24"/>
      <c r="H99" s="39"/>
      <c r="I99" s="71"/>
      <c r="J99" s="15"/>
      <c r="K99" s="39"/>
      <c r="L99" s="39"/>
      <c r="M99" s="39"/>
    </row>
    <row r="100" spans="2:13" ht="11.25" customHeight="1">
      <c r="B100" s="82"/>
      <c r="C100" s="71"/>
      <c r="D100" s="39"/>
      <c r="E100" s="39"/>
      <c r="F100" s="39"/>
      <c r="G100" s="24"/>
      <c r="H100" s="39"/>
      <c r="I100" s="71"/>
      <c r="J100" s="15"/>
      <c r="K100" s="39"/>
      <c r="L100" s="39"/>
      <c r="M100" s="39"/>
    </row>
    <row r="101" spans="2:13" ht="11.25" customHeight="1">
      <c r="B101" s="82"/>
      <c r="C101" s="71"/>
      <c r="D101" s="39"/>
      <c r="E101" s="39"/>
      <c r="F101" s="39"/>
      <c r="G101" s="24"/>
      <c r="H101" s="39"/>
      <c r="I101" s="71"/>
      <c r="J101" s="15"/>
      <c r="K101" s="39"/>
      <c r="L101" s="39"/>
      <c r="M101" s="39"/>
    </row>
    <row r="102" spans="2:13" ht="11.25" customHeight="1">
      <c r="B102" s="82"/>
      <c r="C102" s="71"/>
      <c r="D102" s="39"/>
      <c r="E102" s="39"/>
      <c r="F102" s="39"/>
      <c r="G102" s="24"/>
      <c r="H102" s="39"/>
      <c r="I102" s="71"/>
      <c r="J102" s="15"/>
      <c r="K102" s="39"/>
      <c r="L102" s="39"/>
      <c r="M102" s="39"/>
    </row>
    <row r="103" spans="2:13" ht="11.25" customHeight="1">
      <c r="B103" s="82"/>
      <c r="C103" s="71"/>
      <c r="D103" s="39"/>
      <c r="E103" s="39"/>
      <c r="F103" s="39"/>
      <c r="G103" s="24"/>
      <c r="H103" s="39"/>
      <c r="I103" s="71"/>
      <c r="J103" s="15"/>
      <c r="K103" s="39"/>
      <c r="L103" s="39"/>
      <c r="M103" s="39"/>
    </row>
    <row r="104" spans="2:13" ht="11.25" customHeight="1">
      <c r="B104" s="82"/>
      <c r="C104" s="71"/>
      <c r="D104" s="39"/>
      <c r="E104" s="39"/>
      <c r="F104" s="39"/>
      <c r="G104" s="24"/>
      <c r="H104" s="39"/>
      <c r="I104" s="71"/>
      <c r="J104" s="15"/>
      <c r="K104" s="39"/>
      <c r="L104" s="39"/>
      <c r="M104" s="39"/>
    </row>
    <row r="105" spans="2:13" ht="11.25" customHeight="1">
      <c r="B105" s="82"/>
      <c r="C105" s="71"/>
      <c r="D105" s="39"/>
      <c r="E105" s="39"/>
      <c r="F105" s="39"/>
      <c r="G105" s="24"/>
      <c r="H105" s="39"/>
      <c r="I105" s="71"/>
      <c r="J105" s="15"/>
      <c r="K105" s="39"/>
      <c r="L105" s="39"/>
      <c r="M105" s="39"/>
    </row>
    <row r="106" spans="2:13" ht="11.25" customHeight="1">
      <c r="B106" s="82"/>
      <c r="C106" s="71"/>
      <c r="D106" s="39"/>
      <c r="E106" s="39"/>
      <c r="F106" s="39"/>
      <c r="G106" s="24"/>
      <c r="H106" s="39"/>
      <c r="I106" s="71"/>
      <c r="J106" s="15"/>
      <c r="K106" s="39"/>
      <c r="L106" s="39"/>
      <c r="M106" s="39"/>
    </row>
    <row r="107" spans="2:13" ht="11.25" customHeight="1">
      <c r="B107" s="82"/>
      <c r="C107" s="71"/>
      <c r="D107" s="39"/>
      <c r="E107" s="39"/>
      <c r="F107" s="39"/>
      <c r="G107" s="24"/>
      <c r="H107" s="39"/>
      <c r="I107" s="71"/>
      <c r="J107" s="15"/>
      <c r="K107" s="39"/>
      <c r="L107" s="39"/>
      <c r="M107" s="39"/>
    </row>
    <row r="108" spans="2:13" ht="11.25" customHeight="1">
      <c r="B108" s="82"/>
      <c r="C108" s="71"/>
      <c r="D108" s="39"/>
      <c r="E108" s="39"/>
      <c r="F108" s="39"/>
      <c r="G108" s="24"/>
      <c r="H108" s="39"/>
      <c r="I108" s="71"/>
      <c r="J108" s="15"/>
      <c r="K108" s="39"/>
      <c r="L108" s="39"/>
      <c r="M108" s="39"/>
    </row>
    <row r="109" spans="2:13" ht="11.25" customHeight="1">
      <c r="B109" s="82"/>
      <c r="C109" s="71"/>
      <c r="D109" s="39"/>
      <c r="E109" s="39"/>
      <c r="F109" s="39"/>
      <c r="G109" s="24"/>
      <c r="H109" s="39"/>
      <c r="I109" s="71"/>
      <c r="J109" s="15"/>
      <c r="K109" s="39"/>
      <c r="L109" s="39"/>
      <c r="M109" s="39"/>
    </row>
    <row r="110" spans="2:13" ht="11.25" customHeight="1">
      <c r="B110" s="82"/>
      <c r="C110" s="71"/>
      <c r="D110" s="39"/>
      <c r="E110" s="39"/>
      <c r="F110" s="39"/>
      <c r="G110" s="24"/>
      <c r="H110" s="39"/>
      <c r="I110" s="71"/>
      <c r="J110" s="15"/>
      <c r="K110" s="39"/>
      <c r="L110" s="39"/>
      <c r="M110" s="39"/>
    </row>
    <row r="111" spans="2:13" ht="11.25" customHeight="1">
      <c r="B111" s="82"/>
      <c r="C111" s="71"/>
      <c r="D111" s="39"/>
      <c r="E111" s="39"/>
      <c r="F111" s="39"/>
      <c r="G111" s="24"/>
      <c r="H111" s="39"/>
      <c r="I111" s="71"/>
      <c r="J111" s="15"/>
      <c r="K111" s="39"/>
      <c r="L111" s="39"/>
      <c r="M111" s="39"/>
    </row>
    <row r="112" spans="2:13" ht="11.25" customHeight="1">
      <c r="B112" s="82"/>
      <c r="C112" s="71"/>
      <c r="D112" s="39"/>
      <c r="E112" s="39"/>
      <c r="F112" s="39"/>
      <c r="G112" s="24"/>
      <c r="H112" s="39"/>
      <c r="I112" s="71"/>
      <c r="J112" s="15"/>
      <c r="K112" s="39"/>
      <c r="L112" s="39"/>
      <c r="M112" s="39"/>
    </row>
    <row r="113" spans="2:13" ht="11.25" customHeight="1">
      <c r="B113" s="82"/>
      <c r="C113" s="71"/>
      <c r="D113" s="39"/>
      <c r="E113" s="39"/>
      <c r="F113" s="39"/>
      <c r="G113" s="24"/>
      <c r="H113" s="39"/>
      <c r="I113" s="71"/>
      <c r="J113" s="15"/>
      <c r="K113" s="39"/>
      <c r="L113" s="39"/>
      <c r="M113" s="39"/>
    </row>
    <row r="114" spans="2:13" ht="11.25" customHeight="1">
      <c r="B114" s="82"/>
      <c r="C114" s="71"/>
      <c r="D114" s="39"/>
      <c r="E114" s="39"/>
      <c r="F114" s="39"/>
      <c r="G114" s="24"/>
      <c r="H114" s="39"/>
      <c r="I114" s="71"/>
      <c r="J114" s="15"/>
      <c r="K114" s="39"/>
      <c r="L114" s="39"/>
      <c r="M114" s="39"/>
    </row>
    <row r="115" spans="2:13" ht="11.25" customHeight="1">
      <c r="B115" s="82"/>
      <c r="C115" s="71"/>
      <c r="D115" s="39"/>
      <c r="E115" s="39"/>
      <c r="F115" s="39"/>
      <c r="G115" s="24"/>
      <c r="H115" s="39"/>
      <c r="I115" s="71"/>
      <c r="J115" s="15"/>
      <c r="K115" s="39"/>
      <c r="L115" s="39"/>
      <c r="M115" s="39"/>
    </row>
    <row r="116" spans="2:13" ht="11.25" customHeight="1">
      <c r="B116" s="82"/>
      <c r="C116" s="71"/>
      <c r="D116" s="39"/>
      <c r="E116" s="39"/>
      <c r="F116" s="39"/>
      <c r="G116" s="24"/>
      <c r="H116" s="39"/>
      <c r="I116" s="71"/>
      <c r="J116" s="15"/>
      <c r="K116" s="39"/>
      <c r="L116" s="39"/>
      <c r="M116" s="39"/>
    </row>
    <row r="117" spans="2:13" ht="11.25" customHeight="1">
      <c r="B117" s="82"/>
      <c r="C117" s="71"/>
      <c r="D117" s="39"/>
      <c r="E117" s="39"/>
      <c r="F117" s="39"/>
      <c r="G117" s="24"/>
      <c r="H117" s="39"/>
      <c r="I117" s="71"/>
      <c r="J117" s="15"/>
      <c r="K117" s="39"/>
      <c r="L117" s="39"/>
      <c r="M117" s="39"/>
    </row>
    <row r="118" spans="2:13" ht="11.25" customHeight="1">
      <c r="B118" s="82"/>
      <c r="C118" s="71"/>
      <c r="D118" s="39"/>
      <c r="E118" s="39"/>
      <c r="F118" s="39"/>
      <c r="G118" s="24"/>
      <c r="H118" s="39"/>
      <c r="I118" s="71"/>
      <c r="J118" s="15"/>
      <c r="K118" s="39"/>
      <c r="L118" s="39"/>
      <c r="M118" s="39"/>
    </row>
    <row r="119" spans="2:13" ht="11.25" customHeight="1">
      <c r="B119" s="82"/>
      <c r="C119" s="71"/>
      <c r="D119" s="39"/>
      <c r="E119" s="39"/>
      <c r="F119" s="39"/>
      <c r="G119" s="24"/>
      <c r="H119" s="39"/>
      <c r="I119" s="71"/>
      <c r="J119" s="15"/>
      <c r="K119" s="39"/>
      <c r="L119" s="39"/>
      <c r="M119" s="39"/>
    </row>
    <row r="120" spans="2:13" ht="11.25" customHeight="1">
      <c r="B120" s="82"/>
      <c r="C120" s="71"/>
      <c r="D120" s="39"/>
      <c r="E120" s="39"/>
      <c r="F120" s="39"/>
      <c r="G120" s="24"/>
      <c r="H120" s="39"/>
      <c r="I120" s="71"/>
      <c r="J120" s="15"/>
      <c r="K120" s="39"/>
      <c r="L120" s="39"/>
      <c r="M120" s="39"/>
    </row>
    <row r="121" spans="2:13" ht="11.25" customHeight="1">
      <c r="B121" s="82"/>
      <c r="C121" s="71"/>
      <c r="D121" s="39"/>
      <c r="E121" s="39"/>
      <c r="F121" s="39"/>
      <c r="G121" s="24"/>
      <c r="H121" s="39"/>
      <c r="I121" s="71"/>
      <c r="J121" s="15"/>
      <c r="K121" s="39"/>
      <c r="L121" s="39"/>
      <c r="M121" s="39"/>
    </row>
    <row r="122" spans="2:13" ht="11.25" customHeight="1">
      <c r="B122" s="82"/>
      <c r="C122" s="71"/>
      <c r="D122" s="39"/>
      <c r="E122" s="39"/>
      <c r="F122" s="39"/>
      <c r="G122" s="24"/>
      <c r="H122" s="39"/>
      <c r="I122" s="71"/>
      <c r="J122" s="15"/>
      <c r="K122" s="39"/>
      <c r="L122" s="39"/>
      <c r="M122" s="39"/>
    </row>
    <row r="123" spans="2:13" ht="11.25" customHeight="1">
      <c r="B123" s="82"/>
      <c r="C123" s="71"/>
      <c r="D123" s="39"/>
      <c r="E123" s="39"/>
      <c r="F123" s="39"/>
      <c r="G123" s="24"/>
      <c r="H123" s="39"/>
      <c r="I123" s="71"/>
      <c r="J123" s="15"/>
      <c r="K123" s="39"/>
      <c r="L123" s="39"/>
      <c r="M123" s="39"/>
    </row>
    <row r="124" spans="2:13" ht="11.25" customHeight="1">
      <c r="B124" s="82"/>
      <c r="C124" s="71"/>
      <c r="D124" s="39"/>
      <c r="E124" s="39"/>
      <c r="F124" s="39"/>
      <c r="G124" s="24"/>
      <c r="H124" s="39"/>
      <c r="I124" s="71"/>
      <c r="J124" s="15"/>
      <c r="K124" s="39"/>
      <c r="L124" s="39"/>
      <c r="M124" s="39"/>
    </row>
    <row r="125" spans="2:13" ht="11.25" customHeight="1">
      <c r="B125" s="82"/>
      <c r="C125" s="71"/>
      <c r="D125" s="39"/>
      <c r="E125" s="39"/>
      <c r="F125" s="39"/>
      <c r="G125" s="24"/>
      <c r="H125" s="39"/>
      <c r="I125" s="71"/>
      <c r="J125" s="15"/>
      <c r="K125" s="39"/>
      <c r="L125" s="39"/>
      <c r="M125" s="39"/>
    </row>
    <row r="126" spans="2:13" ht="11.25" customHeight="1">
      <c r="B126" s="82"/>
      <c r="C126" s="71"/>
      <c r="D126" s="39"/>
      <c r="E126" s="39"/>
      <c r="F126" s="39"/>
      <c r="G126" s="24"/>
      <c r="H126" s="39"/>
      <c r="I126" s="71"/>
      <c r="J126" s="15"/>
      <c r="K126" s="39"/>
      <c r="L126" s="39"/>
      <c r="M126" s="39"/>
    </row>
    <row r="127" spans="2:13" ht="11.25" customHeight="1">
      <c r="B127" s="82"/>
      <c r="C127" s="71"/>
      <c r="D127" s="39"/>
      <c r="E127" s="39"/>
      <c r="F127" s="39"/>
      <c r="G127" s="24"/>
      <c r="H127" s="39"/>
      <c r="I127" s="71"/>
      <c r="J127" s="15"/>
      <c r="K127" s="39"/>
      <c r="L127" s="39"/>
      <c r="M127" s="39"/>
    </row>
  </sheetData>
  <autoFilter ref="A1:M47" xr:uid="{06C16500-D5DC-412D-840B-944D43DA5625}">
    <filterColumn colId="2">
      <filters>
        <filter val="Icreate"/>
      </filters>
    </filterColumn>
  </autoFilter>
  <conditionalFormatting sqref="L2:L56">
    <cfRule type="cellIs" dxfId="3" priority="9" operator="equal">
      <formula>"Hold"</formula>
    </cfRule>
    <cfRule type="cellIs" dxfId="2" priority="10" operator="equal">
      <formula>"Open"</formula>
    </cfRule>
    <cfRule type="cellIs" dxfId="1" priority="11" operator="equal">
      <formula>"WIP"</formula>
    </cfRule>
    <cfRule type="cellIs" dxfId="0" priority="12" operator="equal">
      <formula>"Closed"</formula>
    </cfRule>
  </conditionalFormatting>
  <dataValidations count="4">
    <dataValidation type="list" showInputMessage="1" showErrorMessage="1" sqref="K2:K41" xr:uid="{AC1D84A3-CD8D-4D6A-9958-3842BAF040EC}">
      <formula1>"LL,knowlege sharing,Q&amp;A"</formula1>
    </dataValidation>
    <dataValidation type="list" allowBlank="1" showInputMessage="1" showErrorMessage="1" sqref="L2:L56" xr:uid="{A19C1FF1-CADD-448E-AF27-03A9E401EC55}">
      <formula1>"Closed, WIP, Open, Hold, Not set"</formula1>
    </dataValidation>
    <dataValidation type="list" allowBlank="1" showInputMessage="1" showErrorMessage="1" sqref="C2:C48 C50:C87" xr:uid="{D1CB478F-E80F-4473-9526-AE0D9D25DFA9}">
      <formula1>"GENERAL, Icreate, APQP, CAD, 3DX, EBER, WERS, USAGE, PACN, RMDV, VEPS, ESOW, PDS, RFQ, DCR, CRIDX, AIMS, JIRA, COMMODITY PLAN, DVP, REDBOOK, VPF, PDL, RELEASE, SUPRT PLAN, SCSS, S-DOT, BUILD, PPIR, WCPA, PSW, ALERT, AAR, RIS, DFMEA, VFM, ATT C, DOORS"</formula1>
    </dataValidation>
    <dataValidation type="list" showInputMessage="1" showErrorMessage="1" sqref="K42:K56" xr:uid="{3DF5D4E7-80F0-4384-9A32-84EA5C8036FB}">
      <formula1>"LL,KSS/Training,Q&amp;A"</formula1>
    </dataValidation>
  </dataValidations>
  <hyperlinks>
    <hyperlink ref="M7" r:id="rId1" xr:uid="{0686AE78-C69E-465A-8361-4B4236767A03}"/>
    <hyperlink ref="M8" r:id="rId2" display="https://jlrglobal.sharepoint.com/sites/3d-experience-training-online/_layouts/15/stream.aspx?id=%2Fsites%2F3d%2Dexperience%2Dtraining%2Donline%2FShared%20Documents%2FDocumentation%2FP%20Release%20for%20L481%20and%20EMA%2FTactical%20release%20process%2FInitial%20P%20Release%2FMLA%20IR%20Webinar%2Emp4&amp;referrer=StreamWebApp%2EWeb&amp;referrerScenario=AddressBarCopied%2Eview%2E5b9e06ad%2D39a4%2D4008%2Db0ca%2D9ab6d5717ff1" xr:uid="{07EF7156-A518-4102-BC23-3E140C090B56}"/>
    <hyperlink ref="M11" r:id="rId3" display="https://jlrglobal.sharepoint.com/sites/3d-experience-training-online/Shared%20Documents/Forms/tags.aspx?id=%2Fsites%2F3d%2Dexperience%2Dtraining%2Donline%2FShared%20Documents%2FDocumentation%2FIn%20Vehicle%20Software%20%28IVS%29%2FCAD%20%2D%20Subsequent%2FBranching%20%28up%2DCLI%29%20the%20EI%2Epdf&amp;parent=%2Fsites%2F3d%2Dexperience%2Dtraining%2Donline%2FShared%20Documents%2FDocumentation%2FIn%20Vehicle%20Software%20%28IVS%29%2FCAD%20%2D%20Subsequent" xr:uid="{608981CE-8479-4CBE-8BAE-C9314B32D1A5}"/>
    <hyperlink ref="M16" r:id="rId4" xr:uid="{797EFD58-655D-44BB-B2B6-FC77E19F03F9}"/>
    <hyperlink ref="M18" r:id="rId5" display="https://jlrglobal.sharepoint.com/sites/3d-experience-training-online/_layouts/15/stream.aspx?id=%2Fsites%2F3d%2Dexperience%2Dtraining%2Donline%2FShared%20Documents%2FDocumentation%2FP%20Release%20for%20L481%20and%20EMA%2FTactical%20release%20process%2FInitial%20P%20Release%2FMLA%20IR%20Webinar%2Emp4&amp;nav=eyJwbGF5YmFja09wdGlvbnMiOnsic3RhcnRUaW1lSW5TZWNvbmRzIjoxMC4wMjI3OTd9fQ%3D%3D&amp;referrer=StreamWebApp%2EWeb&amp;referrerScenario=AddressBarCopied%2Eview%2Ebcf6b74f%2D258b%2D435a%2Dbb11%2Db62e5ece4088" xr:uid="{C09CD836-B705-42AD-A295-42DCBC6B4AB8}"/>
    <hyperlink ref="M2" r:id="rId6" xr:uid="{3A04B2F3-C4BE-4CA1-A920-AB31556256C8}"/>
    <hyperlink ref="M30" r:id="rId7" display="https://jlrglobal.sharepoint.com/sites/veps/Shared%20Documents/Forms/AllItems.aspx?csf=1&amp;web=1&amp;e=7yuhNN&amp;CID=f611b62c%2D9ffa%2D4ba0%2Da7b7%2Dd9cfbd1bcfb4&amp;FolderCTID=0x01200002B3E001137568418B8A2B302F89CC7F&amp;id=%2Fsites%2Fveps%2FShared%20Documents%2F01%2E%20VEPS%20SCHEDULES%2FTOP%20HAT%2FBES" xr:uid="{ABDD17B7-C20E-4D44-A82E-5DA18B15EAC1}"/>
    <hyperlink ref="M31" r:id="rId8" xr:uid="{60FE83AE-E343-41BD-BE0C-7117D5227EA0}"/>
    <hyperlink ref="M24" r:id="rId9" xr:uid="{13FE3063-08E9-4EF8-8101-218B7D4A23BD}"/>
    <hyperlink ref="M25" r:id="rId10" xr:uid="{37EE5DA6-F9FD-4633-85D8-231C36B29F64}"/>
    <hyperlink ref="M26" r:id="rId11" xr:uid="{753BEAD8-AD2B-4DD0-B44F-59D7C5DADDF8}"/>
    <hyperlink ref="M27" r:id="rId12" xr:uid="{215A64DF-F181-4E0E-8E2B-AB696F091463}"/>
    <hyperlink ref="M21" r:id="rId13" display="https://jlrglobal.sharepoint.com/:p:/r/sites/MLA27MYMCFSV-EXTERIORS_GRP/_layouts/15/Doc.aspx?sourcedoc=%7B7949E75C-8787-41D5-9AEE-55995AF052D0%7D&amp;file=20251010_L460%2028MY%20SV%20Radiator%20Grille%20Stress%20Mark%20Deviation.pptx&amp;action=edit&amp;mobileredirect=true" xr:uid="{B59C893F-8ABD-443D-AC91-C9919B261718}"/>
    <hyperlink ref="M23" r:id="rId14" xr:uid="{31152674-9530-45E0-B479-E2B94D81EAE5}"/>
    <hyperlink ref="M28" r:id="rId15" xr:uid="{FBBB95A5-EDED-4FBB-B1DF-0366F17DDBFA}"/>
    <hyperlink ref="M39" r:id="rId16" xr:uid="{92B101AE-E92A-483B-8870-68D64DF32B79}"/>
    <hyperlink ref="M40" r:id="rId17" xr:uid="{3EDBA33A-EC0F-4153-AC65-48548666D472}"/>
    <hyperlink ref="M34" r:id="rId18" xr:uid="{268ADFD4-2171-4DBB-8045-7D6816E9E163}"/>
    <hyperlink ref="M35" r:id="rId19" xr:uid="{EE53B98D-14BA-4DDB-8D1B-8FE44CCE94B1}"/>
    <hyperlink ref="M33" r:id="rId20" xr:uid="{FA7A4629-7BE2-4714-BEEA-CE5CA2CB76DB}"/>
    <hyperlink ref="M49" r:id="rId21" display="https://jlrglobal.sharepoint.com/sites/3d-experience-training-online/_layouts/15/stream.aspx?id=%2Fsites%2F3d%2Dexperience%2Dtraining%2Donline%2FShared%20Documents%2FMP4%20Videos%2FP%20Release%20for%20L481and%20EMA%2FWebinars%2FCOBOT%20webinar%2Dincrease%20quantity%2C%20position%20only%2C%20add%20new%20EI%2Emp4&amp;referrer=StreamWebApp%2EWeb&amp;referrerScenario=AddressBarCopied%2Eview%2E99bed3f5%2De0cc%2D47b9%2D873c%2Df22a7642d9ce" xr:uid="{A641800A-22D7-41CB-8A0F-AB27B0440661}"/>
    <hyperlink ref="M42" r:id="rId22" xr:uid="{E2D8469A-61D8-4900-9ADF-DBB512A49994}"/>
    <hyperlink ref="M45" r:id="rId23" xr:uid="{59712DD0-DCB3-47CE-A923-DEE467641176}"/>
    <hyperlink ref="M44" r:id="rId24" xr:uid="{92A62EE2-216F-4852-96B3-E1E547DA95D8}"/>
    <hyperlink ref="M46" r:id="rId25" xr:uid="{B1FC8A66-2D14-4930-BF92-9107A9412A94}"/>
    <hyperlink ref="M43" r:id="rId26" xr:uid="{D4DECEC2-53BC-49DD-9417-FB920A21D111}"/>
    <hyperlink ref="M47" r:id="rId27" xr:uid="{9FAFDB11-3334-4505-8ADC-278FADD1FF38}"/>
    <hyperlink ref="M48" r:id="rId28" xr:uid="{EBD6D6AF-4044-46ED-92F8-92B6A863ACD0}"/>
    <hyperlink ref="M52" r:id="rId29" xr:uid="{F5FB4AD1-CE0B-4192-B65D-1B86BE807B6F}"/>
    <hyperlink ref="M55" r:id="rId30" xr:uid="{911A6F15-A693-4749-98F1-974B73B5BC9D}"/>
    <hyperlink ref="M56" r:id="rId31" xr:uid="{3842C600-60AA-402A-8171-E631BAC4EAF9}"/>
    <hyperlink ref="M54" r:id="rId32" xr:uid="{FF3AD578-F632-449A-A8A5-CD26E8C10D4C}"/>
    <hyperlink ref="M53" r:id="rId33" xr:uid="{A75CC623-7E57-4A10-9CE4-2683850FDBEE}"/>
  </hyperlinks>
  <pageMargins left="0.7" right="0.7" top="0.75" bottom="0.75" header="0.3" footer="0.3"/>
  <pageSetup paperSize="9" orientation="portrait" horizontalDpi="4294967293" verticalDpi="0" r:id="rId34"/>
  <drawing r:id="rId3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220ea3a-ae5d-4c2d-a740-8066a1e3f119" xsi:nil="true"/>
    <lcf76f155ced4ddcb4097134ff3c332f xmlns="fcf13d84-3384-403b-99eb-3fb4a100b81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BDD8CF34A770347AE8EAE4A29C2847B" ma:contentTypeVersion="11" ma:contentTypeDescription="Create a new document." ma:contentTypeScope="" ma:versionID="33890d08b77cd0837e193fbe2a2fd285">
  <xsd:schema xmlns:xsd="http://www.w3.org/2001/XMLSchema" xmlns:xs="http://www.w3.org/2001/XMLSchema" xmlns:p="http://schemas.microsoft.com/office/2006/metadata/properties" xmlns:ns2="fcf13d84-3384-403b-99eb-3fb4a100b81c" xmlns:ns3="4220ea3a-ae5d-4c2d-a740-8066a1e3f119" targetNamespace="http://schemas.microsoft.com/office/2006/metadata/properties" ma:root="true" ma:fieldsID="6c4986187ecf65430ba276a9b4e4a877" ns2:_="" ns3:_="">
    <xsd:import namespace="fcf13d84-3384-403b-99eb-3fb4a100b81c"/>
    <xsd:import namespace="4220ea3a-ae5d-4c2d-a740-8066a1e3f1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f13d84-3384-403b-99eb-3fb4a100b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1f8b2a-cd79-47dd-889c-3fa2f18623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20ea3a-ae5d-4c2d-a740-8066a1e3f1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a84a62-0663-4be7-9ffd-62a4213cf290}" ma:internalName="TaxCatchAll" ma:showField="CatchAllData" ma:web="4220ea3a-ae5d-4c2d-a740-8066a1e3f1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7B6883-2491-40DB-8D1B-A1A42CCA6D35}"/>
</file>

<file path=customXml/itemProps2.xml><?xml version="1.0" encoding="utf-8"?>
<ds:datastoreItem xmlns:ds="http://schemas.openxmlformats.org/officeDocument/2006/customXml" ds:itemID="{A1E40628-3FA7-49C4-9389-E04A978DBD8B}"/>
</file>

<file path=customXml/itemProps3.xml><?xml version="1.0" encoding="utf-8"?>
<ds:datastoreItem xmlns:ds="http://schemas.openxmlformats.org/officeDocument/2006/customXml" ds:itemID="{91923988-5B4C-4C8A-BD1E-9D4694BD07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Arvind Udgi</dc:creator>
  <cp:keywords/>
  <dc:description/>
  <cp:lastModifiedBy>V, Manojkumar</cp:lastModifiedBy>
  <cp:revision/>
  <dcterms:created xsi:type="dcterms:W3CDTF">2026-03-20T06:18:00Z</dcterms:created>
  <dcterms:modified xsi:type="dcterms:W3CDTF">2026-04-16T06:37:22Z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Enabled">
    <vt:lpwstr>true</vt:lpwstr>
  </property>
  <property fmtid="{D5CDD505-2E9C-101B-9397-08002B2CF9AE}" pid="3" name="MSIP_Label_289eaf13-f528-470e-bf6b-38b666617431_SetDate">
    <vt:lpwstr>2026-03-20T06:39:30Z</vt:lpwstr>
  </property>
  <property fmtid="{D5CDD505-2E9C-101B-9397-08002B2CF9AE}" pid="4" name="MSIP_Label_289eaf13-f528-470e-bf6b-38b666617431_Method">
    <vt:lpwstr>Standard</vt:lpwstr>
  </property>
  <property fmtid="{D5CDD505-2E9C-101B-9397-08002B2CF9AE}" pid="5" name="MSIP_Label_289eaf13-f528-470e-bf6b-38b666617431_Name">
    <vt:lpwstr>Proprietary</vt:lpwstr>
  </property>
  <property fmtid="{D5CDD505-2E9C-101B-9397-08002B2CF9AE}" pid="6" name="MSIP_Label_289eaf13-f528-470e-bf6b-38b666617431_SiteId">
    <vt:lpwstr>4c087f80-1e07-4f72-9e41-d7d9748d0f4c</vt:lpwstr>
  </property>
  <property fmtid="{D5CDD505-2E9C-101B-9397-08002B2CF9AE}" pid="7" name="MSIP_Label_289eaf13-f528-470e-bf6b-38b666617431_ActionId">
    <vt:lpwstr>a167e67d-47a7-4683-9d77-398a4d16b83f</vt:lpwstr>
  </property>
  <property fmtid="{D5CDD505-2E9C-101B-9397-08002B2CF9AE}" pid="8" name="MSIP_Label_289eaf13-f528-470e-bf6b-38b666617431_ContentBits">
    <vt:lpwstr>0</vt:lpwstr>
  </property>
  <property fmtid="{D5CDD505-2E9C-101B-9397-08002B2CF9AE}" pid="9" name="MSIP_Label_289eaf13-f528-470e-bf6b-38b666617431_Tag">
    <vt:lpwstr>10, 3, 0, 1</vt:lpwstr>
  </property>
  <property fmtid="{D5CDD505-2E9C-101B-9397-08002B2CF9AE}" pid="10" name="ContentTypeId">
    <vt:lpwstr>0x0101003BDD8CF34A770347AE8EAE4A29C2847B</vt:lpwstr>
  </property>
</Properties>
</file>